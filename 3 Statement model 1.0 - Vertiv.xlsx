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16216e44b1032b86/Documents/Projects/M ^0 A Advisory/Project 1 - 3 Statament Model/"/>
    </mc:Choice>
  </mc:AlternateContent>
  <xr:revisionPtr revIDLastSave="1824" documentId="8_{9BF8468B-BFD9-4534-81AD-A13D527ECB58}" xr6:coauthVersionLast="47" xr6:coauthVersionMax="47" xr10:uidLastSave="{C66D1963-3410-4D22-81DA-34DEB62EAE34}"/>
  <bookViews>
    <workbookView xWindow="-110" yWindow="-110" windowWidth="19420" windowHeight="11500" activeTab="1" xr2:uid="{07514E9A-7E5C-4C79-99C7-7F9840E3F745}"/>
  </bookViews>
  <sheets>
    <sheet name="Summary" sheetId="4" r:id="rId1"/>
    <sheet name="Model" sheetId="1" r:id="rId2"/>
    <sheet name="Assumptions - Detailed" sheetId="2" r:id="rId3"/>
    <sheet name="Methodology - Each Step"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9" i="1" l="1"/>
  <c r="G221" i="1"/>
  <c r="F221" i="1"/>
  <c r="I143" i="1"/>
  <c r="H143" i="1"/>
  <c r="G143" i="1"/>
  <c r="F143" i="1"/>
  <c r="I142" i="1"/>
  <c r="H142" i="1"/>
  <c r="G142" i="1"/>
  <c r="F142" i="1"/>
  <c r="I141" i="1"/>
  <c r="H141" i="1"/>
  <c r="G141" i="1"/>
  <c r="E18" i="4"/>
  <c r="D18" i="4"/>
  <c r="C18" i="4"/>
  <c r="E17" i="4"/>
  <c r="D17" i="4"/>
  <c r="C17" i="4"/>
  <c r="E16" i="4"/>
  <c r="D16" i="4"/>
  <c r="C16" i="4"/>
  <c r="E15" i="4"/>
  <c r="D15" i="4"/>
  <c r="C15" i="4"/>
  <c r="I14" i="4"/>
  <c r="H14" i="4"/>
  <c r="G14" i="4"/>
  <c r="F14" i="4"/>
  <c r="E14" i="4"/>
  <c r="D14" i="4"/>
  <c r="C14" i="4"/>
  <c r="E13" i="4"/>
  <c r="D13" i="4"/>
  <c r="C13" i="4"/>
  <c r="E12" i="4"/>
  <c r="D12" i="4"/>
  <c r="C12" i="4"/>
  <c r="E11" i="4"/>
  <c r="D11" i="4"/>
  <c r="C11" i="4"/>
  <c r="I10" i="4"/>
  <c r="H10" i="4"/>
  <c r="G10" i="4"/>
  <c r="F10" i="4"/>
  <c r="E10" i="4"/>
  <c r="D10" i="4"/>
  <c r="C10" i="4"/>
  <c r="I9" i="4"/>
  <c r="H9" i="4"/>
  <c r="G9" i="4"/>
  <c r="F9" i="4"/>
  <c r="E9" i="4"/>
  <c r="D9" i="4"/>
  <c r="C9" i="4"/>
  <c r="I8" i="4"/>
  <c r="H8" i="4"/>
  <c r="G8" i="4"/>
  <c r="F8" i="4"/>
  <c r="E8" i="4"/>
  <c r="D8" i="4"/>
  <c r="C8" i="4"/>
  <c r="I7" i="4"/>
  <c r="H7" i="4"/>
  <c r="G7" i="4"/>
  <c r="F7" i="4"/>
  <c r="E7" i="4"/>
  <c r="D7" i="4"/>
  <c r="I6" i="4"/>
  <c r="H6" i="4"/>
  <c r="G6" i="4"/>
  <c r="F6" i="4"/>
  <c r="E6" i="4"/>
  <c r="D6" i="4"/>
  <c r="C6" i="4"/>
  <c r="F152" i="1"/>
  <c r="F59" i="1"/>
  <c r="G59" i="1" s="1"/>
  <c r="H59" i="1" s="1"/>
  <c r="I59" i="1" s="1"/>
  <c r="F80" i="1"/>
  <c r="F79" i="1"/>
  <c r="G79" i="1" s="1"/>
  <c r="H79" i="1" s="1"/>
  <c r="I79" i="1" s="1"/>
  <c r="F89" i="1"/>
  <c r="G89" i="1" s="1"/>
  <c r="H89" i="1" s="1"/>
  <c r="I89" i="1" s="1"/>
  <c r="F87" i="1"/>
  <c r="G87" i="1" s="1"/>
  <c r="H87" i="1" s="1"/>
  <c r="I87" i="1" s="1"/>
  <c r="F82" i="1"/>
  <c r="G82" i="1" s="1"/>
  <c r="H82" i="1" s="1"/>
  <c r="I82" i="1" s="1"/>
  <c r="I74" i="1"/>
  <c r="H74" i="1"/>
  <c r="G74" i="1"/>
  <c r="F74" i="1"/>
  <c r="F57" i="1"/>
  <c r="F47" i="1"/>
  <c r="G47" i="1" s="1"/>
  <c r="H47" i="1" s="1"/>
  <c r="I47" i="1" s="1"/>
  <c r="I147" i="1"/>
  <c r="H147" i="1"/>
  <c r="G147" i="1"/>
  <c r="G184" i="1"/>
  <c r="H184" i="1" s="1"/>
  <c r="I184" i="1" s="1"/>
  <c r="E264" i="1"/>
  <c r="F147" i="1" s="1"/>
  <c r="E258" i="1"/>
  <c r="E257" i="1"/>
  <c r="E256" i="1"/>
  <c r="E263" i="1"/>
  <c r="E262" i="1"/>
  <c r="E261" i="1"/>
  <c r="B69" i="2"/>
  <c r="C69" i="2" s="1"/>
  <c r="G238" i="1"/>
  <c r="H238" i="1" s="1"/>
  <c r="I238" i="1" s="1"/>
  <c r="I120" i="1" s="1"/>
  <c r="E238" i="1"/>
  <c r="I245" i="1"/>
  <c r="H245" i="1"/>
  <c r="G245" i="1"/>
  <c r="F245" i="1"/>
  <c r="F62" i="2"/>
  <c r="I60" i="2"/>
  <c r="I59" i="2"/>
  <c r="I58" i="2"/>
  <c r="G59" i="2"/>
  <c r="G58" i="2"/>
  <c r="B58" i="2"/>
  <c r="E60" i="2"/>
  <c r="F59" i="2"/>
  <c r="F58" i="2"/>
  <c r="F60" i="2" s="1"/>
  <c r="I243" i="1"/>
  <c r="I127" i="1" s="1"/>
  <c r="H243" i="1"/>
  <c r="H127" i="1" s="1"/>
  <c r="G243" i="1"/>
  <c r="G127" i="1" s="1"/>
  <c r="F243" i="1"/>
  <c r="F127" i="1" s="1"/>
  <c r="E244" i="1"/>
  <c r="F242" i="1" s="1"/>
  <c r="F235" i="1"/>
  <c r="G38" i="2"/>
  <c r="B37" i="2"/>
  <c r="I234" i="1"/>
  <c r="I104" i="1" s="1"/>
  <c r="H234" i="1"/>
  <c r="H104" i="1" s="1"/>
  <c r="G234" i="1"/>
  <c r="G104" i="1" s="1"/>
  <c r="F234" i="1"/>
  <c r="F104" i="1" s="1"/>
  <c r="E236" i="1"/>
  <c r="F233" i="1" s="1"/>
  <c r="C29" i="2"/>
  <c r="C22" i="2"/>
  <c r="C24" i="2" s="1"/>
  <c r="E222" i="1"/>
  <c r="F103" i="1" s="1"/>
  <c r="E17" i="2"/>
  <c r="E16" i="2"/>
  <c r="C18" i="2"/>
  <c r="D18" i="2"/>
  <c r="B18" i="2"/>
  <c r="E183" i="1"/>
  <c r="D183" i="1"/>
  <c r="E182" i="1"/>
  <c r="D182" i="1"/>
  <c r="E165" i="1"/>
  <c r="D165" i="1"/>
  <c r="C165" i="1"/>
  <c r="E164" i="1"/>
  <c r="D164" i="1"/>
  <c r="C164" i="1"/>
  <c r="E160" i="1"/>
  <c r="D160" i="1"/>
  <c r="E159" i="1"/>
  <c r="D159" i="1"/>
  <c r="E153" i="1"/>
  <c r="D153" i="1"/>
  <c r="C153" i="1"/>
  <c r="E148" i="1"/>
  <c r="E111" i="1" s="1"/>
  <c r="D148" i="1"/>
  <c r="D111" i="1" s="1"/>
  <c r="C148" i="1"/>
  <c r="C111" i="1" s="1"/>
  <c r="E132" i="1"/>
  <c r="D132" i="1"/>
  <c r="C132" i="1"/>
  <c r="E122" i="1"/>
  <c r="D122" i="1"/>
  <c r="C122" i="1"/>
  <c r="E90" i="1"/>
  <c r="D90" i="1"/>
  <c r="C90" i="1"/>
  <c r="E83" i="1"/>
  <c r="D83" i="1"/>
  <c r="C83" i="1"/>
  <c r="E75" i="1"/>
  <c r="D75" i="1"/>
  <c r="C75" i="1"/>
  <c r="E62" i="1"/>
  <c r="D62" i="1"/>
  <c r="C62" i="1"/>
  <c r="E51" i="1"/>
  <c r="D51" i="1"/>
  <c r="C51" i="1"/>
  <c r="E35" i="1"/>
  <c r="D35" i="1"/>
  <c r="C35" i="1"/>
  <c r="E28" i="1"/>
  <c r="D28" i="1"/>
  <c r="C28" i="1"/>
  <c r="E21" i="1"/>
  <c r="D21" i="1"/>
  <c r="D174" i="1" s="1"/>
  <c r="C21" i="1"/>
  <c r="C174" i="1" s="1"/>
  <c r="C16" i="1"/>
  <c r="C177" i="1" s="1"/>
  <c r="E16" i="1"/>
  <c r="E181" i="1" s="1"/>
  <c r="D16" i="1"/>
  <c r="D177" i="1" s="1"/>
  <c r="G152" i="1" l="1"/>
  <c r="H152" i="1" s="1"/>
  <c r="I152" i="1" s="1"/>
  <c r="E190" i="1"/>
  <c r="G80" i="1"/>
  <c r="H80" i="1" s="1"/>
  <c r="I80" i="1" s="1"/>
  <c r="C190" i="1"/>
  <c r="D190" i="1"/>
  <c r="E187" i="1"/>
  <c r="H70" i="1"/>
  <c r="I70" i="1"/>
  <c r="C187" i="1"/>
  <c r="F70" i="1"/>
  <c r="G70" i="1"/>
  <c r="D187" i="1"/>
  <c r="F120" i="1"/>
  <c r="E265" i="1"/>
  <c r="G57" i="1"/>
  <c r="H57" i="1"/>
  <c r="I57" i="1"/>
  <c r="G120" i="1"/>
  <c r="H120" i="1"/>
  <c r="E259" i="1"/>
  <c r="F244" i="1"/>
  <c r="F236" i="1"/>
  <c r="F58" i="1" s="1"/>
  <c r="F219" i="1"/>
  <c r="C30" i="2" s="1"/>
  <c r="C31" i="2" s="1"/>
  <c r="C181" i="1"/>
  <c r="C167" i="1"/>
  <c r="E177" i="1"/>
  <c r="C178" i="1"/>
  <c r="E166" i="1"/>
  <c r="F16" i="1"/>
  <c r="C176" i="1"/>
  <c r="C173" i="1"/>
  <c r="C175" i="1"/>
  <c r="D175" i="1"/>
  <c r="D167" i="1"/>
  <c r="E175" i="1"/>
  <c r="D178" i="1"/>
  <c r="E167" i="1"/>
  <c r="D173" i="1"/>
  <c r="E178" i="1"/>
  <c r="C168" i="1"/>
  <c r="E173" i="1"/>
  <c r="D176" i="1"/>
  <c r="D168" i="1"/>
  <c r="E176" i="1"/>
  <c r="D181" i="1"/>
  <c r="D161" i="1"/>
  <c r="C166" i="1"/>
  <c r="E168" i="1"/>
  <c r="E161" i="1"/>
  <c r="D166" i="1"/>
  <c r="E174" i="1"/>
  <c r="C22" i="1"/>
  <c r="C29" i="1" s="1"/>
  <c r="D64" i="1"/>
  <c r="E64" i="1"/>
  <c r="C84" i="1"/>
  <c r="C92" i="1" s="1"/>
  <c r="D84" i="1"/>
  <c r="D92" i="1" s="1"/>
  <c r="C64" i="1"/>
  <c r="E84" i="1"/>
  <c r="E92" i="1" s="1"/>
  <c r="E22" i="1"/>
  <c r="D22" i="1"/>
  <c r="D29" i="1" s="1"/>
  <c r="F81" i="1" l="1"/>
  <c r="F60" i="1" s="1"/>
  <c r="F61" i="1"/>
  <c r="F109" i="1" s="1"/>
  <c r="G242" i="1"/>
  <c r="G244" i="1" s="1"/>
  <c r="G246" i="1" s="1"/>
  <c r="F78" i="1"/>
  <c r="F83" i="1" s="1"/>
  <c r="G233" i="1"/>
  <c r="G236" i="1" s="1"/>
  <c r="G58" i="1" s="1"/>
  <c r="E267" i="1"/>
  <c r="F220" i="1"/>
  <c r="F115" i="1" s="1"/>
  <c r="F122" i="1" s="1"/>
  <c r="F258" i="1"/>
  <c r="F256" i="1"/>
  <c r="F263" i="1"/>
  <c r="F262" i="1"/>
  <c r="F246" i="1"/>
  <c r="F27" i="1"/>
  <c r="F168" i="1" s="1"/>
  <c r="F161" i="1"/>
  <c r="F22" i="1"/>
  <c r="F21" i="1" s="1"/>
  <c r="G16" i="1"/>
  <c r="F25" i="1"/>
  <c r="E29" i="1"/>
  <c r="E36" i="1" s="1"/>
  <c r="E94" i="1"/>
  <c r="D94" i="1"/>
  <c r="D36" i="1"/>
  <c r="D169" i="1"/>
  <c r="C36" i="1"/>
  <c r="C169" i="1"/>
  <c r="C94" i="1"/>
  <c r="F17" i="4" l="1"/>
  <c r="F62" i="1"/>
  <c r="G61" i="1"/>
  <c r="G109" i="1" s="1"/>
  <c r="G81" i="1"/>
  <c r="G60" i="1"/>
  <c r="G62" i="1"/>
  <c r="F222" i="1"/>
  <c r="F146" i="1"/>
  <c r="F73" i="1"/>
  <c r="H242" i="1"/>
  <c r="H244" i="1" s="1"/>
  <c r="G78" i="1"/>
  <c r="G17" i="4" s="1"/>
  <c r="F145" i="1"/>
  <c r="F72" i="1"/>
  <c r="H233" i="1"/>
  <c r="H236" i="1" s="1"/>
  <c r="F32" i="1"/>
  <c r="F35" i="1" s="1"/>
  <c r="F149" i="1"/>
  <c r="G32" i="1"/>
  <c r="G35" i="1" s="1"/>
  <c r="G149" i="1"/>
  <c r="F48" i="1"/>
  <c r="F141" i="1"/>
  <c r="F50" i="1"/>
  <c r="G220" i="1"/>
  <c r="G115" i="1" s="1"/>
  <c r="G122" i="1" s="1"/>
  <c r="G258" i="1"/>
  <c r="G256" i="1"/>
  <c r="G262" i="1"/>
  <c r="G263" i="1"/>
  <c r="F166" i="1"/>
  <c r="F261" i="1"/>
  <c r="F71" i="1" s="1"/>
  <c r="F257" i="1"/>
  <c r="E169" i="1"/>
  <c r="F28" i="1"/>
  <c r="F29" i="1" s="1"/>
  <c r="F167" i="1"/>
  <c r="G27" i="1"/>
  <c r="G168" i="1" s="1"/>
  <c r="G161" i="1"/>
  <c r="G22" i="1"/>
  <c r="G21" i="1" s="1"/>
  <c r="G25" i="1"/>
  <c r="H16" i="1"/>
  <c r="E38" i="1"/>
  <c r="E170" i="1"/>
  <c r="C38" i="1"/>
  <c r="C170" i="1"/>
  <c r="D38" i="1"/>
  <c r="D170" i="1"/>
  <c r="F54" i="1" l="1"/>
  <c r="G103" i="1"/>
  <c r="G219" i="1"/>
  <c r="G222" i="1" s="1"/>
  <c r="H221" i="1" s="1"/>
  <c r="G83" i="1"/>
  <c r="H61" i="1"/>
  <c r="H109" i="1" s="1"/>
  <c r="H81" i="1"/>
  <c r="H60" i="1" s="1"/>
  <c r="I242" i="1"/>
  <c r="I244" i="1" s="1"/>
  <c r="H78" i="1"/>
  <c r="H246" i="1"/>
  <c r="F75" i="1"/>
  <c r="F84" i="1" s="1"/>
  <c r="G145" i="1"/>
  <c r="G72" i="1"/>
  <c r="G146" i="1"/>
  <c r="G73" i="1"/>
  <c r="H58" i="1"/>
  <c r="I233" i="1"/>
  <c r="I236" i="1" s="1"/>
  <c r="I58" i="1" s="1"/>
  <c r="F259" i="1"/>
  <c r="F49" i="1"/>
  <c r="F265" i="1"/>
  <c r="F144" i="1"/>
  <c r="G48" i="1"/>
  <c r="G50" i="1"/>
  <c r="G166" i="1"/>
  <c r="G261" i="1"/>
  <c r="G71" i="1" s="1"/>
  <c r="G257" i="1"/>
  <c r="H220" i="1"/>
  <c r="H115" i="1" s="1"/>
  <c r="H122" i="1" s="1"/>
  <c r="H256" i="1"/>
  <c r="H262" i="1"/>
  <c r="H263" i="1"/>
  <c r="H258" i="1"/>
  <c r="G28" i="1"/>
  <c r="G29" i="1" s="1"/>
  <c r="G167" i="1"/>
  <c r="F36" i="1"/>
  <c r="F37" i="1" s="1"/>
  <c r="F169" i="1"/>
  <c r="H161" i="1"/>
  <c r="H22" i="1"/>
  <c r="H21" i="1" s="1"/>
  <c r="H27" i="1"/>
  <c r="H168" i="1" s="1"/>
  <c r="I16" i="1"/>
  <c r="H25" i="1"/>
  <c r="D101" i="1"/>
  <c r="D112" i="1" s="1"/>
  <c r="D135" i="1" s="1"/>
  <c r="D137" i="1" s="1"/>
  <c r="D151" i="1" s="1"/>
  <c r="D154" i="1" s="1"/>
  <c r="D184" i="1"/>
  <c r="C101" i="1"/>
  <c r="C112" i="1" s="1"/>
  <c r="C135" i="1" s="1"/>
  <c r="C137" i="1" s="1"/>
  <c r="C151" i="1" s="1"/>
  <c r="C154" i="1" s="1"/>
  <c r="C184" i="1"/>
  <c r="E101" i="1"/>
  <c r="E112" i="1" s="1"/>
  <c r="E135" i="1" s="1"/>
  <c r="E137" i="1" s="1"/>
  <c r="E184" i="1"/>
  <c r="H83" i="1" l="1"/>
  <c r="H17" i="4"/>
  <c r="G54" i="1"/>
  <c r="H62" i="1"/>
  <c r="I61" i="1"/>
  <c r="I109" i="1" s="1"/>
  <c r="I81" i="1"/>
  <c r="I60" i="1" s="1"/>
  <c r="I62" i="1" s="1"/>
  <c r="G75" i="1"/>
  <c r="G84" i="1" s="1"/>
  <c r="H146" i="1"/>
  <c r="H73" i="1"/>
  <c r="H145" i="1"/>
  <c r="H72" i="1"/>
  <c r="H149" i="1"/>
  <c r="H32" i="1"/>
  <c r="H35" i="1" s="1"/>
  <c r="I246" i="1"/>
  <c r="I78" i="1"/>
  <c r="H103" i="1"/>
  <c r="H219" i="1"/>
  <c r="F148" i="1"/>
  <c r="F111" i="1" s="1"/>
  <c r="E151" i="1"/>
  <c r="E154" i="1" s="1"/>
  <c r="F136" i="1"/>
  <c r="H50" i="1"/>
  <c r="G259" i="1"/>
  <c r="F267" i="1"/>
  <c r="F268" i="1" s="1"/>
  <c r="H48" i="1"/>
  <c r="G144" i="1"/>
  <c r="G265" i="1"/>
  <c r="I220" i="1"/>
  <c r="I115" i="1" s="1"/>
  <c r="I122" i="1" s="1"/>
  <c r="I262" i="1"/>
  <c r="I258" i="1"/>
  <c r="I263" i="1"/>
  <c r="I256" i="1"/>
  <c r="H166" i="1"/>
  <c r="H261" i="1"/>
  <c r="H71" i="1" s="1"/>
  <c r="H257" i="1"/>
  <c r="G36" i="1"/>
  <c r="G37" i="1" s="1"/>
  <c r="G170" i="1" s="1"/>
  <c r="G169" i="1"/>
  <c r="H28" i="1"/>
  <c r="H29" i="1" s="1"/>
  <c r="H167" i="1"/>
  <c r="I25" i="1"/>
  <c r="I161" i="1"/>
  <c r="I22" i="1"/>
  <c r="I21" i="1" s="1"/>
  <c r="I27" i="1"/>
  <c r="I168" i="1" s="1"/>
  <c r="I83" i="1" l="1"/>
  <c r="I17" i="4"/>
  <c r="I146" i="1"/>
  <c r="I73" i="1"/>
  <c r="I145" i="1"/>
  <c r="I72" i="1"/>
  <c r="I32" i="1"/>
  <c r="I35" i="1" s="1"/>
  <c r="I149" i="1"/>
  <c r="H75" i="1"/>
  <c r="H84" i="1" s="1"/>
  <c r="G148" i="1"/>
  <c r="G111" i="1" s="1"/>
  <c r="H222" i="1"/>
  <c r="I221" i="1" s="1"/>
  <c r="G38" i="1"/>
  <c r="I50" i="1"/>
  <c r="H259" i="1"/>
  <c r="H49" i="1"/>
  <c r="G267" i="1"/>
  <c r="G268" i="1" s="1"/>
  <c r="H144" i="1"/>
  <c r="H265" i="1"/>
  <c r="I48" i="1"/>
  <c r="I166" i="1"/>
  <c r="I257" i="1"/>
  <c r="I261" i="1"/>
  <c r="I71" i="1" s="1"/>
  <c r="I28" i="1"/>
  <c r="I29" i="1" s="1"/>
  <c r="I167" i="1"/>
  <c r="H36" i="1"/>
  <c r="H37" i="1" s="1"/>
  <c r="H170" i="1" s="1"/>
  <c r="H169" i="1"/>
  <c r="F170" i="1"/>
  <c r="F38" i="1"/>
  <c r="F11" i="4" s="1"/>
  <c r="F12" i="4" s="1"/>
  <c r="G128" i="1" l="1"/>
  <c r="G132" i="1" s="1"/>
  <c r="G11" i="4"/>
  <c r="G12" i="4" s="1"/>
  <c r="I219" i="1"/>
  <c r="I222" i="1" s="1"/>
  <c r="I54" i="1" s="1"/>
  <c r="H54" i="1"/>
  <c r="I103" i="1"/>
  <c r="I75" i="1"/>
  <c r="I84" i="1" s="1"/>
  <c r="G101" i="1"/>
  <c r="G112" i="1" s="1"/>
  <c r="H148" i="1"/>
  <c r="H111" i="1" s="1"/>
  <c r="H267" i="1"/>
  <c r="H268" i="1" s="1"/>
  <c r="I144" i="1"/>
  <c r="I265" i="1"/>
  <c r="F128" i="1"/>
  <c r="F132" i="1" s="1"/>
  <c r="F101" i="1"/>
  <c r="F112" i="1" s="1"/>
  <c r="F13" i="4" s="1"/>
  <c r="F15" i="4" s="1"/>
  <c r="I259" i="1"/>
  <c r="I49" i="1"/>
  <c r="H38" i="1"/>
  <c r="H11" i="4" s="1"/>
  <c r="H12" i="4" s="1"/>
  <c r="I36" i="1"/>
  <c r="I169" i="1"/>
  <c r="G135" i="1" l="1"/>
  <c r="G13" i="4"/>
  <c r="G15" i="4" s="1"/>
  <c r="F135" i="1"/>
  <c r="F137" i="1" s="1"/>
  <c r="F151" i="1" s="1"/>
  <c r="I267" i="1"/>
  <c r="I268" i="1" s="1"/>
  <c r="I148" i="1"/>
  <c r="I111" i="1" s="1"/>
  <c r="F88" i="1"/>
  <c r="H128" i="1"/>
  <c r="H132" i="1" s="1"/>
  <c r="H101" i="1"/>
  <c r="H112" i="1" s="1"/>
  <c r="H13" i="4" s="1"/>
  <c r="H15" i="4" s="1"/>
  <c r="I37" i="1"/>
  <c r="I170" i="1" s="1"/>
  <c r="F46" i="1" l="1"/>
  <c r="G88" i="1"/>
  <c r="G90" i="1" s="1"/>
  <c r="G92" i="1" s="1"/>
  <c r="F90" i="1"/>
  <c r="F92" i="1" s="1"/>
  <c r="G136" i="1"/>
  <c r="G137" i="1" s="1"/>
  <c r="H136" i="1" s="1"/>
  <c r="H135" i="1"/>
  <c r="I38" i="1"/>
  <c r="I11" i="4" s="1"/>
  <c r="I12" i="4" s="1"/>
  <c r="F18" i="4" l="1"/>
  <c r="F16" i="4"/>
  <c r="F51" i="1"/>
  <c r="F64" i="1" s="1"/>
  <c r="F94" i="1" s="1"/>
  <c r="F153" i="1"/>
  <c r="F154" i="1" s="1"/>
  <c r="H88" i="1"/>
  <c r="H90" i="1" s="1"/>
  <c r="H92" i="1" s="1"/>
  <c r="G151" i="1"/>
  <c r="I128" i="1"/>
  <c r="I132" i="1" s="1"/>
  <c r="I101" i="1"/>
  <c r="I112" i="1" s="1"/>
  <c r="I13" i="4" s="1"/>
  <c r="I15" i="4" s="1"/>
  <c r="H137" i="1"/>
  <c r="G46" i="1" l="1"/>
  <c r="I88" i="1"/>
  <c r="I90" i="1" s="1"/>
  <c r="I92" i="1" s="1"/>
  <c r="I135" i="1"/>
  <c r="H151" i="1"/>
  <c r="I136" i="1"/>
  <c r="G16" i="4" l="1"/>
  <c r="G18" i="4"/>
  <c r="G51" i="1"/>
  <c r="G64" i="1" s="1"/>
  <c r="G94" i="1" s="1"/>
  <c r="G153" i="1"/>
  <c r="G154" i="1" s="1"/>
  <c r="H46" i="1"/>
  <c r="I137" i="1"/>
  <c r="I151" i="1" s="1"/>
  <c r="H16" i="4" l="1"/>
  <c r="H18" i="4"/>
  <c r="I46" i="1"/>
  <c r="H51" i="1"/>
  <c r="H64" i="1" s="1"/>
  <c r="H94" i="1" s="1"/>
  <c r="H153" i="1"/>
  <c r="H154" i="1" s="1"/>
  <c r="I18" i="4" l="1"/>
  <c r="I16" i="4"/>
  <c r="I51" i="1"/>
  <c r="I64" i="1" s="1"/>
  <c r="I94" i="1" s="1"/>
  <c r="I153" i="1"/>
  <c r="I154" i="1" s="1"/>
</calcChain>
</file>

<file path=xl/sharedStrings.xml><?xml version="1.0" encoding="utf-8"?>
<sst xmlns="http://schemas.openxmlformats.org/spreadsheetml/2006/main" count="312" uniqueCount="272">
  <si>
    <t>INCOME STATEMENT</t>
  </si>
  <si>
    <t>Net sales</t>
  </si>
  <si>
    <t>Net sales - Products</t>
  </si>
  <si>
    <t>Net sales - Services</t>
  </si>
  <si>
    <t>Total Net sales</t>
  </si>
  <si>
    <t>Cost of Sales</t>
  </si>
  <si>
    <t>COS - Products</t>
  </si>
  <si>
    <t>COS - Services</t>
  </si>
  <si>
    <t>Total Cost of Sales</t>
  </si>
  <si>
    <t>Gross Profit</t>
  </si>
  <si>
    <t>SGA</t>
  </si>
  <si>
    <t>Amortization of intangibles</t>
  </si>
  <si>
    <t>Other Operating expenses</t>
  </si>
  <si>
    <t>Total Operating Costs</t>
  </si>
  <si>
    <t>Operating Profit</t>
  </si>
  <si>
    <t>Non Operating Expenses</t>
  </si>
  <si>
    <t>Interest expense, net</t>
  </si>
  <si>
    <t>Loss on extinguishment of debt</t>
  </si>
  <si>
    <t>Change in fair value of warrant liabilities</t>
  </si>
  <si>
    <t>Earnings Before Tax</t>
  </si>
  <si>
    <t>Total non operating expenses</t>
  </si>
  <si>
    <t>Income tax expense</t>
  </si>
  <si>
    <t>Net Income/(Loss)</t>
  </si>
  <si>
    <t>2023A</t>
  </si>
  <si>
    <t>2024A</t>
  </si>
  <si>
    <t>2025A</t>
  </si>
  <si>
    <t>2026E</t>
  </si>
  <si>
    <t>2027E</t>
  </si>
  <si>
    <t>2028E</t>
  </si>
  <si>
    <t>2029E</t>
  </si>
  <si>
    <t>BALANCE SHEET</t>
  </si>
  <si>
    <t>Current Assets</t>
  </si>
  <si>
    <t>Cash and cash equivalents</t>
  </si>
  <si>
    <t>Short-term investments</t>
  </si>
  <si>
    <t>Inventories</t>
  </si>
  <si>
    <t>Other current assets</t>
  </si>
  <si>
    <t>Total Current Assets</t>
  </si>
  <si>
    <t>Non - Current Assets</t>
  </si>
  <si>
    <t>Property, plant and equipment, net</t>
  </si>
  <si>
    <t>Other Assets</t>
  </si>
  <si>
    <t>Goodwill</t>
  </si>
  <si>
    <t>Other intangible assets, net</t>
  </si>
  <si>
    <t>Deferred income taxes</t>
  </si>
  <si>
    <t>Right-of-use assets, net</t>
  </si>
  <si>
    <t>Other</t>
  </si>
  <si>
    <t>Total Other Assets</t>
  </si>
  <si>
    <t>TOTAL ASSETS</t>
  </si>
  <si>
    <t>ASSETS:</t>
  </si>
  <si>
    <t>LIABILITIES AND EQUITY:</t>
  </si>
  <si>
    <t>Current Liabilities</t>
  </si>
  <si>
    <t>Current portion of long-term debt</t>
  </si>
  <si>
    <t>Accounts payable</t>
  </si>
  <si>
    <t>Deferred revenue</t>
  </si>
  <si>
    <t>Accrued expenses and other liabilities</t>
  </si>
  <si>
    <t>Income taxes</t>
  </si>
  <si>
    <t>Total Current liabilities</t>
  </si>
  <si>
    <t>Non Current Liabilities</t>
  </si>
  <si>
    <t>Long-term debt, net</t>
  </si>
  <si>
    <t>Warrant Liabilities</t>
  </si>
  <si>
    <t>Long-term lease liabilities</t>
  </si>
  <si>
    <t>Other long-term liabilities</t>
  </si>
  <si>
    <t>Total Non Current Liabilities</t>
  </si>
  <si>
    <t>Total Liabilities</t>
  </si>
  <si>
    <t>Equity</t>
  </si>
  <si>
    <t>Liabilities</t>
  </si>
  <si>
    <t>Additional paid-in capital</t>
  </si>
  <si>
    <t>Retained earnings</t>
  </si>
  <si>
    <t>Accumulated other comprehensive (loss) income</t>
  </si>
  <si>
    <t>Total Equity</t>
  </si>
  <si>
    <t>TOTAL LIABILITIES &amp; EQUITY</t>
  </si>
  <si>
    <t>CASH FLOW STATEMENT</t>
  </si>
  <si>
    <t>Cash flows from operating activities</t>
  </si>
  <si>
    <t>Net income (loss)</t>
  </si>
  <si>
    <t>Adjustment: (Non Cash/Non Operating Items)</t>
  </si>
  <si>
    <t>Depreciation</t>
  </si>
  <si>
    <t>Amortization</t>
  </si>
  <si>
    <t>Amortization of debt discount and issuance costs</t>
  </si>
  <si>
    <t>Stock-based compensation</t>
  </si>
  <si>
    <t>Changes in operating working capital</t>
  </si>
  <si>
    <t>Net cash provided by (used for) operating activities</t>
  </si>
  <si>
    <t>Cash flows from investing activities</t>
  </si>
  <si>
    <t>Capital expenditures</t>
  </si>
  <si>
    <t>Investments in capitalized software</t>
  </si>
  <si>
    <t>Purchase of short-term investments</t>
  </si>
  <si>
    <t>Proceeds from maturities of short-term investments</t>
  </si>
  <si>
    <t>Proceeds from disposition of PPE</t>
  </si>
  <si>
    <t>Acquisition of businesses, net of cash acquired</t>
  </si>
  <si>
    <t>Proceeds from sale of business</t>
  </si>
  <si>
    <t>Net cash provided by (used for) investing activities</t>
  </si>
  <si>
    <t>Cash flows from financing activities</t>
  </si>
  <si>
    <t>Borrowings from ABL revolving credit facility and short term borrowing</t>
  </si>
  <si>
    <t>Repayments of ABL revolving credit facility and short term borrowing</t>
  </si>
  <si>
    <t>Repayment of long-term debt</t>
  </si>
  <si>
    <t>Dividend payment</t>
  </si>
  <si>
    <t>Repurchase of common stock</t>
  </si>
  <si>
    <t>Exercise of employee stock options</t>
  </si>
  <si>
    <t>Employee taxes paid from shares withheld</t>
  </si>
  <si>
    <t>Net cash provided by (used for) financing activities</t>
  </si>
  <si>
    <t>Effect of exchange rate changes on cash and cash equivalents</t>
  </si>
  <si>
    <t>Increase (decrease) in cash, cash equivalents and restricted cash</t>
  </si>
  <si>
    <t>Beginning cash, cash equivalents and restricted cash</t>
  </si>
  <si>
    <t>Ending cash, cash equivalents and restricted cash</t>
  </si>
  <si>
    <t>Accounts receivable</t>
  </si>
  <si>
    <t>Note</t>
  </si>
  <si>
    <t>Total changes in operating working capital</t>
  </si>
  <si>
    <t>Cash paid during the year for interest</t>
  </si>
  <si>
    <t>Operating Costs</t>
  </si>
  <si>
    <t>Balance sheet check</t>
  </si>
  <si>
    <t>Cash Check</t>
  </si>
  <si>
    <t>Restricted cash included in other current assets</t>
  </si>
  <si>
    <t>Cash &amp; Cash equivalents</t>
  </si>
  <si>
    <t>RATIOS</t>
  </si>
  <si>
    <t>Growth</t>
  </si>
  <si>
    <t>Products Growth</t>
  </si>
  <si>
    <t>Services Growth</t>
  </si>
  <si>
    <t>Total Sales Growth</t>
  </si>
  <si>
    <t>-</t>
  </si>
  <si>
    <t>Margins/Costs</t>
  </si>
  <si>
    <t>Products - Gross Margin</t>
  </si>
  <si>
    <t>Services - Gross Margin</t>
  </si>
  <si>
    <t>Total Gross Margin</t>
  </si>
  <si>
    <t>SGA as % of Sales</t>
  </si>
  <si>
    <t>Other Opex as % of Sales</t>
  </si>
  <si>
    <t>Operating Margin</t>
  </si>
  <si>
    <t>Tax rate</t>
  </si>
  <si>
    <t>Working Capital</t>
  </si>
  <si>
    <t>Receivable Days</t>
  </si>
  <si>
    <t>Inventory days</t>
  </si>
  <si>
    <t>Payable Days</t>
  </si>
  <si>
    <t>Deffered Revenue as % of Sales</t>
  </si>
  <si>
    <t>Other Current Assets as % of Sales</t>
  </si>
  <si>
    <t>Accrued expenses as % of Sales</t>
  </si>
  <si>
    <t>Capex, depreciation, interest, dividends</t>
  </si>
  <si>
    <t>CAPEX as % of Sales</t>
  </si>
  <si>
    <t>Depreciation % of prior year PPE</t>
  </si>
  <si>
    <t>Interest rate on average debt</t>
  </si>
  <si>
    <t>Dividends % of net income</t>
  </si>
  <si>
    <t>Revenue Growth</t>
  </si>
  <si>
    <t>2026 total sales growth: 33% (~$13.6B)</t>
  </si>
  <si>
    <r>
      <t>Guidance:</t>
    </r>
    <r>
      <rPr>
        <sz val="11"/>
        <color theme="1"/>
        <rFont val="Aptos Narrow"/>
        <family val="2"/>
        <scheme val="minor"/>
      </rPr>
      <t xml:space="preserve"> In its Q2 2026 release, Vertiv guided full-year net sales of $13.8B to $14.2B (midpoint $14B), which is about 37% total growth over 2025's $10.23B. Organic growth guidance is 30 to 32%; the gap is acquisitions and currency.</t>
    </r>
  </si>
  <si>
    <r>
      <t>Track record:</t>
    </r>
    <r>
      <rPr>
        <sz val="11"/>
        <color theme="1"/>
        <rFont val="Aptos Narrow"/>
        <family val="2"/>
        <scheme val="minor"/>
      </rPr>
      <t xml:space="preserve"> Vertiv has beaten its sales guidance in each of the last two years. For 2025, it guided around $9B at the end of 2024 and delivered $10.23B. This suggests management guides conservatively, which argues for staying close to guidance.</t>
    </r>
  </si>
  <si>
    <r>
      <t>Year to date:</t>
    </r>
    <r>
      <rPr>
        <sz val="11"/>
        <color theme="1"/>
        <rFont val="Aptos Narrow"/>
        <family val="2"/>
        <scheme val="minor"/>
      </rPr>
      <t xml:space="preserve"> H1 2026 sales were $5.92B (Q1 $2.65B, Q2 $3.27B), about 42% of the $14B guidance. In 2025, H1 was about 46% of the full year. If 2026 followed the same seasonal pattern, full-year sales would be around $13B, below guidance. Hitting $14B requires H2 to accelerate meaningfully, with Q4 around $4.3B versus $2.88B in Q4 2025 (roughly 50% growth).</t>
    </r>
  </si>
  <si>
    <r>
      <t>Support for H2 acceleration:</t>
    </r>
    <r>
      <rPr>
        <sz val="11"/>
        <color theme="1"/>
        <rFont val="Aptos Narrow"/>
        <family val="2"/>
        <scheme val="minor"/>
      </rPr>
      <t xml:space="preserve"> Q3 guidance calls for 34 to 36% organic growth, faster than H1. Deferred revenue rose from 9.3% to 17.7% of sales between 2023 and 2025, showing customers are prepaying for future deliveries. Both point to a strong second half.</t>
    </r>
  </si>
  <si>
    <r>
      <t>Historical anchor:</t>
    </r>
    <r>
      <rPr>
        <sz val="11"/>
        <color theme="1"/>
        <rFont val="Aptos Narrow"/>
        <family val="2"/>
        <scheme val="minor"/>
      </rPr>
      <t xml:space="preserve"> 2023–25 sales CAGR was 22%. This reflects the period before the AI buildout was fully underway, so it's used as the long-run level growth fades toward by 2029, not as a check on 2026.</t>
    </r>
  </si>
  <si>
    <r>
      <t>Conclusion:</t>
    </r>
    <r>
      <rPr>
        <sz val="11"/>
        <color theme="1"/>
        <rFont val="Aptos Narrow"/>
        <family val="2"/>
        <scheme val="minor"/>
      </rPr>
      <t xml:space="preserve"> 33% sits between the seasonal estimate (~$13B) and guidance ($14B). It gives credit to Vertiv's track record and H2 visibility, while allowing for the risk that H2 doesn't fully deliver.</t>
    </r>
  </si>
  <si>
    <r>
      <t>Risks:</t>
    </r>
    <r>
      <rPr>
        <sz val="11"/>
        <color theme="1"/>
        <rFont val="Aptos Narrow"/>
        <family val="2"/>
        <scheme val="minor"/>
      </rPr>
      <t xml:space="preserve"> Upside if Vertiv beats guidance again (35 to 38%). Downside if data center capex slows or deliveries slip into 2027 (28 to 30%).</t>
    </r>
  </si>
  <si>
    <t>ASSUMPTIONS</t>
  </si>
  <si>
    <t>Growth - Net sales</t>
  </si>
  <si>
    <t>33% growth (~$13.6B). Guidance midpoint is $14B (~37%), and Vertiv has beaten its guidance in 2024 and 2025. But H1 2026 is only 42% of guidance compared with a 46% H1 share in 2025, which implies ~$13B if seasonality repeats. 33% sits between the two, crediting strong Q3 guidance and rising prepayments while allowing for H2 falling short.
2027 in line with Yahoo consensus (29%); 2028 at 22%, near Simply Wall St consensus (~21%) and the historical CAGR; 2029 fades to 17% on judgment as the AI capex cycle matures.</t>
  </si>
  <si>
    <t>H1 - Gross Profit Margin</t>
  </si>
  <si>
    <t>COGS</t>
  </si>
  <si>
    <t>GPM</t>
  </si>
  <si>
    <t>Gross Margin</t>
  </si>
  <si>
    <t>Gross margin held at 36%, matching both the 2023–25 full-year average and the 2024–26 H1 average. H1 2026 ran at 38% and Morningstar implies ~39.6%, but margins have swung by 2 to 4 points year to year (H1 2025 was 34%), so the multi-year average is used rather than the latest period. Conservative relative to current run-rate</t>
  </si>
  <si>
    <t>SG&amp;A falls from 15.8% to 13.5% of sales by 2029 (15%, 14.5%, 14%, 13.5%). This is conservative compared with the 1.9 and 1.4 point annual declines seen in 2024–25, assuming operating leverage continues but at a slower pace of about 0.5 points a year.</t>
  </si>
  <si>
    <t>SG&amp;A as % to sales</t>
  </si>
  <si>
    <t xml:space="preserve">Amortization of intangibles </t>
  </si>
  <si>
    <t>10k Report - Company forecasted</t>
  </si>
  <si>
    <t xml:space="preserve">Other Operating expenses </t>
  </si>
  <si>
    <t>Interest: held at 2025 level as a placeholder until the debt schedule in step 4.</t>
  </si>
  <si>
    <t>Warrants and debt extinguishment: zero, as both were non-recurring.</t>
  </si>
  <si>
    <t>Tax rate: 23.5%, the 2025 effective rate, the only year without warrant distortions.</t>
  </si>
  <si>
    <t>STEP 3: Assumptions</t>
  </si>
  <si>
    <r>
      <t>Revenue growth 2026 (33%)</t>
    </r>
    <r>
      <rPr>
        <sz val="11"/>
        <color theme="1"/>
        <rFont val="Aptos Narrow"/>
        <family val="2"/>
        <scheme val="minor"/>
      </rPr>
      <t xml:space="preserve"> – Q2 2026 earnings release – guidance $14B vs H1 seasonality (~$13B), picked in between</t>
    </r>
  </si>
  <si>
    <r>
      <t>Revenue growth 2027 (29%)</t>
    </r>
    <r>
      <rPr>
        <sz val="11"/>
        <color theme="1"/>
        <rFont val="Aptos Narrow"/>
        <family val="2"/>
        <scheme val="minor"/>
      </rPr>
      <t xml:space="preserve"> – Yahoo Finance consensus – used analysts' growth rate, not their dollar figure</t>
    </r>
  </si>
  <si>
    <r>
      <t>Revenue growth 2028 (22%)</t>
    </r>
    <r>
      <rPr>
        <sz val="11"/>
        <color theme="1"/>
        <rFont val="Aptos Narrow"/>
        <family val="2"/>
        <scheme val="minor"/>
      </rPr>
      <t xml:space="preserve"> – Simply Wall St consensus (~21%) – rounded to historical CAGR</t>
    </r>
  </si>
  <si>
    <r>
      <t>Revenue growth 2029 (17%)</t>
    </r>
    <r>
      <rPr>
        <sz val="11"/>
        <color theme="1"/>
        <rFont val="Aptos Narrow"/>
        <family val="2"/>
        <scheme val="minor"/>
      </rPr>
      <t xml:space="preserve"> – own judgment – fade as AI cycle matures</t>
    </r>
  </si>
  <si>
    <r>
      <t>Gross margin (36%)</t>
    </r>
    <r>
      <rPr>
        <sz val="11"/>
        <color theme="1"/>
        <rFont val="Aptos Narrow"/>
        <family val="2"/>
        <scheme val="minor"/>
      </rPr>
      <t xml:space="preserve"> – 10-K + Q2 10-Qs – average of FY 2023–25 and H1 2024–26</t>
    </r>
  </si>
  <si>
    <r>
      <t>SG&amp;A (15% → 13.5%)</t>
    </r>
    <r>
      <rPr>
        <sz val="11"/>
        <color theme="1"/>
        <rFont val="Aptos Narrow"/>
        <family val="2"/>
        <scheme val="minor"/>
      </rPr>
      <t xml:space="preserve"> – own ratios + Morningstar – slower decline than historical trend</t>
    </r>
  </si>
  <si>
    <r>
      <t>Amortization</t>
    </r>
    <r>
      <rPr>
        <sz val="11"/>
        <color theme="1"/>
        <rFont val="Aptos Narrow"/>
        <family val="2"/>
        <scheme val="minor"/>
      </rPr>
      <t xml:space="preserve"> – 10-K intangibles note – copied the estimated future amortization table</t>
    </r>
  </si>
  <si>
    <r>
      <t>Other opex (0.5%)</t>
    </r>
    <r>
      <rPr>
        <sz val="11"/>
        <color theme="1"/>
        <rFont val="Aptos Narrow"/>
        <family val="2"/>
        <scheme val="minor"/>
      </rPr>
      <t xml:space="preserve"> – own ratios – historical average % of sales</t>
    </r>
  </si>
  <si>
    <r>
      <t>Interest</t>
    </r>
    <r>
      <rPr>
        <sz val="11"/>
        <color theme="1"/>
        <rFont val="Aptos Narrow"/>
        <family val="2"/>
        <scheme val="minor"/>
      </rPr>
      <t xml:space="preserve"> – 10-K – held at 2025 level, placeholder until debt schedule</t>
    </r>
  </si>
  <si>
    <r>
      <t>Warrants, debt extinguishment</t>
    </r>
    <r>
      <rPr>
        <sz val="11"/>
        <color theme="1"/>
        <rFont val="Aptos Narrow"/>
        <family val="2"/>
        <scheme val="minor"/>
      </rPr>
      <t xml:space="preserve"> – set to zero – one-offs</t>
    </r>
  </si>
  <si>
    <r>
      <t>Tax rate (23.5%)</t>
    </r>
    <r>
      <rPr>
        <sz val="11"/>
        <color theme="1"/>
        <rFont val="Aptos Narrow"/>
        <family val="2"/>
        <scheme val="minor"/>
      </rPr>
      <t xml:space="preserve"> – own ratios – 2025 rate, only clean year</t>
    </r>
  </si>
  <si>
    <t>SCHEDULES</t>
  </si>
  <si>
    <t>PPE</t>
  </si>
  <si>
    <t>Opening PP&amp;E</t>
  </si>
  <si>
    <t>CAPEX</t>
  </si>
  <si>
    <t>Closing PP&amp;E</t>
  </si>
  <si>
    <t>PPE SCHEDULE</t>
  </si>
  <si>
    <t>CAPEX Assumption</t>
  </si>
  <si>
    <t>Capex H1 2025</t>
  </si>
  <si>
    <t>Sales H1 2025</t>
  </si>
  <si>
    <t>Capex as % of  sales - H1 2025</t>
  </si>
  <si>
    <t>Avg CAPEX (2023-2025)</t>
  </si>
  <si>
    <t xml:space="preserve">Pedicted CAPEX in Q2 2026 </t>
  </si>
  <si>
    <t>2 Assumptions</t>
  </si>
  <si>
    <t>1. Capex as % to sales</t>
  </si>
  <si>
    <t>Capex at 3.5% of sales in 2026, below Q2 guidance of ~4%, since Vertiv guided $250–300M in 2025 but spent $220M, and H1 2026 ran at only 1.74%. Eases to 3%, 2.5% and 2% by 2029, returning to the ~2% historical average as the capacity buildout completes.</t>
  </si>
  <si>
    <t>2. Depreciation</t>
  </si>
  <si>
    <t>Depreciation]</t>
  </si>
  <si>
    <t>H1 2026 DEP</t>
  </si>
  <si>
    <t>H1 2026 PPE</t>
  </si>
  <si>
    <t>AVG (2023 - 2025)</t>
  </si>
  <si>
    <t xml:space="preserve">H1 dep as % to Opening PPE </t>
  </si>
  <si>
    <t>Depreciation at 15% of opening PP&amp;E, in line with the 2024–25 average (15.05%) and H1 2026 annualized (14.52%)</t>
  </si>
  <si>
    <t>Opening Intangibles</t>
  </si>
  <si>
    <t>Amortization exp</t>
  </si>
  <si>
    <t>Closing Intangibles</t>
  </si>
  <si>
    <t xml:space="preserve">Goodwill 2025 </t>
  </si>
  <si>
    <t>Goodwill 2026 - Q2</t>
  </si>
  <si>
    <t>Goodwill acquired</t>
  </si>
  <si>
    <t>Additions from acquisitions (Q2 2026)</t>
  </si>
  <si>
    <t>Intangibles 2025 year end</t>
  </si>
  <si>
    <t xml:space="preserve">Intangibles 2026 Q2 </t>
  </si>
  <si>
    <t>H1 amortization</t>
  </si>
  <si>
    <t>INTANGIBLES &amp; GOODWILL</t>
  </si>
  <si>
    <t>Goodwill (Bal - Q2 2026)</t>
  </si>
  <si>
    <t>DEBT &amp; INTEREST</t>
  </si>
  <si>
    <t>Opening Debt</t>
  </si>
  <si>
    <t>Repayments</t>
  </si>
  <si>
    <t>Closing Debt</t>
  </si>
  <si>
    <t>Interest Rate</t>
  </si>
  <si>
    <t>Interest Expense</t>
  </si>
  <si>
    <t>Mandatory repayments of $20.9M a year per the 10-K maturity table; the ~$850M 2028 maturity is assumed to be refinanced</t>
  </si>
  <si>
    <t>Total Debt 2025</t>
  </si>
  <si>
    <t>Term loan - Floating</t>
  </si>
  <si>
    <t>Senior secured noted - Refinanced</t>
  </si>
  <si>
    <t xml:space="preserve">Debt </t>
  </si>
  <si>
    <t>Interest (P.a)</t>
  </si>
  <si>
    <t>Int Rate</t>
  </si>
  <si>
    <t>Weights</t>
  </si>
  <si>
    <t>2 methods used to verify - Weighted avg and second is int rate calc</t>
  </si>
  <si>
    <t>Interest at 5.2%, calculated as annual interest on the term loan (5.61%, floating) and 2028 senior notes (4.125%) of ~$151.5M, divided by balance sheet debt of $2,913M (net of unamortized issuance costs). Held flat through 2029 for simplicity; the notes are assumed refinanced in 2028, likely at a higher rate, so 2029 interest may be slightly understated.</t>
  </si>
  <si>
    <t xml:space="preserve">WORKING CAPITAL </t>
  </si>
  <si>
    <t>Total Current Liabilities</t>
  </si>
  <si>
    <t>Net working capital</t>
  </si>
  <si>
    <t>Change in net working capital</t>
  </si>
  <si>
    <t>Assumptions</t>
  </si>
  <si>
    <t>Receivable days held at 110, the 2023–25 average (113, 108, 111), confirmed by H1 2026 annualized at 115 days; no change in payment terms noted, so held flat through 2029.</t>
  </si>
  <si>
    <t xml:space="preserve">Receibavle days </t>
  </si>
  <si>
    <t xml:space="preserve">Accounts receivable </t>
  </si>
  <si>
    <t>Other current assets at 3.9% of sales, between the 2023–25 average (3.56%) and recent levels (4.2% at end 2025, ~5.1% at H1 2026). Small line, so held flat through 2029.</t>
  </si>
  <si>
    <t xml:space="preserve">Other Current assets  </t>
  </si>
  <si>
    <t>Payable days - H1 2026</t>
  </si>
  <si>
    <t>AP</t>
  </si>
  <si>
    <t>Payable days</t>
  </si>
  <si>
    <t>Payable days at 106 in 2026, roughly halfway between H1 2026 (~122) and the 2023–25 average (91), as supplier bills from the H1 build are paid down. Eases to 98 by 2029, the 2025 level rather than the average, since payable days have risen steadily (81 → 95 → 98), suggesting longer supplier terms that are likely to hold. Not extended further, for conservatism</t>
  </si>
  <si>
    <t>Deffered Revenue as % to sales</t>
  </si>
  <si>
    <t>Accrued expenses at 7.5% of sales, the 2025 level, held flat. The ratio fell from 8.9% to 7.6% in 2024 and then flattened; H1 2026 at ~9% likely reflects mid-year accrual timing. Kept at the lower recent level for conservatism.</t>
  </si>
  <si>
    <t>Accrued expenses and other current liabilities as % to sales</t>
  </si>
  <si>
    <t>Income tax payable</t>
  </si>
  <si>
    <t>Inventory days at 100 in 2026, roughly halfway between H1 2026 (125) and the 2023–25 average (80), assuming about half the H1 build unwinds as prepaid orders ship in H2. Eases to 90, 85 and 80 by 2029 as the backlog is delivered, since Vertiv has historically kept inventory lean and took about a year to unwind its smaller 2024 build.</t>
  </si>
  <si>
    <t>Deferred revenue at 24% of sales in 2026, between H1 2026 (30.7%) and year-end 2025 (18%), as some H1 prepayments are recognized in H2 but strong orders keep adding new ones. Eases to 18% by 2029 as order growth slows. Largest working capital driver, so kept below the H1 level for conservatism</t>
  </si>
  <si>
    <t>Dividend Payout Ratio</t>
  </si>
  <si>
    <t>Dividend payout held at 5% of net income, the 2025 level and close to the 2023–25 average (5.2%); 2024 (8.5%) distorted by the warrant charge</t>
  </si>
  <si>
    <t>Other Assets as % of sales</t>
  </si>
  <si>
    <t>Aummption: Avg - Diminishing balance over 3 years</t>
  </si>
  <si>
    <t>Lease Liability as percentage to sales</t>
  </si>
  <si>
    <t>Lease liabilities at 2.4% of sales, the 2025 level, as leases keep growing with the capacity expansion management has committed to. H1 2026 is already at $316M (up 29% in six months, nearly 60% annualized), so the 2023–25 average (2.2%) would understate year-end 2026. Right-of-use assets grow by the same amount, since new leases are non-cash.</t>
  </si>
  <si>
    <t>3 Statement Projection Model</t>
  </si>
  <si>
    <t>Key</t>
  </si>
  <si>
    <t>Blue Text</t>
  </si>
  <si>
    <t>Historical data/Input/Assumption</t>
  </si>
  <si>
    <t>Black Text</t>
  </si>
  <si>
    <t>Formulas/Calculation</t>
  </si>
  <si>
    <t>$ in millions, fiscal years ending Dec 31</t>
  </si>
  <si>
    <t>VERTIV HOLDINGS (VRT)</t>
  </si>
  <si>
    <t>$ in millions, fiscal years ending Dec 31, shaded columns are forecasts</t>
  </si>
  <si>
    <t>Key Outputs</t>
  </si>
  <si>
    <t>Net Sales</t>
  </si>
  <si>
    <t>Sales Growth</t>
  </si>
  <si>
    <t>Opearating Profit</t>
  </si>
  <si>
    <t>Opearting Margin</t>
  </si>
  <si>
    <t>Net Income</t>
  </si>
  <si>
    <t>Net Margin</t>
  </si>
  <si>
    <t>Operating Cash flow</t>
  </si>
  <si>
    <t>Capital Expenditures</t>
  </si>
  <si>
    <t>Free Cash Flow (OCF + CAPEX)</t>
  </si>
  <si>
    <t>Cash and Cash Equivalents (B/s)</t>
  </si>
  <si>
    <t>Total Debt</t>
  </si>
  <si>
    <t>Net Cash / (Net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</si>
</sst>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00\)"/>
    <numFmt numFmtId="165" formatCode="\-"/>
    <numFmt numFmtId="166" formatCode="0.0000%"/>
    <numFmt numFmtId="167" formatCode="#,##0.0_);\(#,##0.0\);&quot;-&quot;_)"/>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11"/>
      <color theme="4"/>
      <name val="Calibri"/>
      <family val="2"/>
    </font>
    <font>
      <sz val="11"/>
      <name val="Calibri"/>
      <family val="2"/>
    </font>
    <font>
      <b/>
      <sz val="11"/>
      <name val="Calibri"/>
      <family val="2"/>
    </font>
    <font>
      <b/>
      <u/>
      <sz val="11"/>
      <color theme="1"/>
      <name val="Calibri"/>
      <family val="2"/>
    </font>
    <font>
      <sz val="11"/>
      <color theme="3" tint="0.249977111117893"/>
      <name val="Calibri"/>
      <family val="2"/>
    </font>
    <font>
      <b/>
      <sz val="16"/>
      <color theme="1"/>
      <name val="Calibri"/>
      <family val="2"/>
    </font>
    <font>
      <b/>
      <i/>
      <sz val="16"/>
      <color theme="1"/>
      <name val="Calibri"/>
      <family val="2"/>
    </font>
    <font>
      <i/>
      <sz val="11"/>
      <color theme="1"/>
      <name val="Calibri"/>
      <family val="2"/>
    </font>
    <font>
      <i/>
      <sz val="11"/>
      <color theme="4"/>
      <name val="Calibri"/>
      <family val="2"/>
    </font>
    <font>
      <i/>
      <sz val="11"/>
      <color rgb="FF374151"/>
      <name val="Calibri"/>
      <family val="2"/>
    </font>
    <font>
      <sz val="16"/>
      <color theme="1"/>
      <name val="Calibri"/>
      <family val="2"/>
    </font>
    <font>
      <sz val="11"/>
      <color rgb="FF388600"/>
      <name val="Calibri"/>
      <family val="2"/>
    </font>
  </fonts>
  <fills count="6">
    <fill>
      <patternFill patternType="none"/>
    </fill>
    <fill>
      <patternFill patternType="gray125"/>
    </fill>
    <fill>
      <patternFill patternType="solid">
        <fgColor theme="3" tint="0.749992370372631"/>
        <bgColor indexed="64"/>
      </patternFill>
    </fill>
    <fill>
      <patternFill patternType="solid">
        <fgColor theme="2"/>
        <bgColor indexed="64"/>
      </patternFill>
    </fill>
    <fill>
      <patternFill patternType="solid">
        <fgColor rgb="FFEFF9FF"/>
        <bgColor indexed="64"/>
      </patternFill>
    </fill>
    <fill>
      <patternFill patternType="solid">
        <fgColor rgb="FFE7F6FF"/>
        <bgColor indexed="64"/>
      </patternFill>
    </fill>
  </fills>
  <borders count="16">
    <border>
      <left/>
      <right/>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right/>
      <top style="medium">
        <color indexed="64"/>
      </top>
      <bottom style="double">
        <color indexed="64"/>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6">
    <xf numFmtId="0" fontId="0" fillId="0" borderId="0" xfId="0"/>
    <xf numFmtId="0" fontId="3" fillId="0" borderId="0" xfId="0" applyFont="1"/>
    <xf numFmtId="0" fontId="4" fillId="0" borderId="0" xfId="0" applyFont="1"/>
    <xf numFmtId="0" fontId="3" fillId="0" borderId="0" xfId="0" applyFont="1" applyAlignment="1">
      <alignment horizontal="left" indent="1"/>
    </xf>
    <xf numFmtId="0" fontId="6" fillId="0" borderId="0" xfId="0" applyFont="1" applyAlignment="1">
      <alignment horizontal="left" vertical="top" indent="1"/>
    </xf>
    <xf numFmtId="0" fontId="7" fillId="0" borderId="0" xfId="0" applyFont="1" applyAlignment="1">
      <alignment vertical="top"/>
    </xf>
    <xf numFmtId="0" fontId="4" fillId="2" borderId="0" xfId="0" applyFont="1" applyFill="1"/>
    <xf numFmtId="0" fontId="3" fillId="2" borderId="0" xfId="0" applyFont="1" applyFill="1"/>
    <xf numFmtId="0" fontId="4" fillId="0" borderId="0" xfId="0" applyFont="1" applyAlignment="1">
      <alignment horizontal="right"/>
    </xf>
    <xf numFmtId="0" fontId="4" fillId="0" borderId="1" xfId="0" applyFont="1" applyBorder="1"/>
    <xf numFmtId="0" fontId="7" fillId="0" borderId="1" xfId="0" applyFont="1" applyBorder="1" applyAlignment="1">
      <alignment vertical="top"/>
    </xf>
    <xf numFmtId="0" fontId="6" fillId="0" borderId="1" xfId="0" applyFont="1" applyBorder="1" applyAlignment="1">
      <alignment horizontal="left" vertical="top" indent="1"/>
    </xf>
    <xf numFmtId="0" fontId="8" fillId="0" borderId="0" xfId="0" applyFont="1"/>
    <xf numFmtId="164" fontId="3" fillId="0" borderId="0" xfId="0" applyNumberFormat="1" applyFont="1"/>
    <xf numFmtId="164" fontId="5" fillId="0" borderId="0" xfId="1" applyNumberFormat="1" applyFont="1"/>
    <xf numFmtId="164" fontId="4" fillId="0" borderId="0" xfId="1" applyNumberFormat="1" applyFont="1"/>
    <xf numFmtId="164" fontId="3" fillId="0" borderId="0" xfId="1" applyNumberFormat="1" applyFont="1"/>
    <xf numFmtId="164" fontId="4" fillId="0" borderId="1" xfId="1" applyNumberFormat="1" applyFont="1" applyBorder="1"/>
    <xf numFmtId="164" fontId="5" fillId="0" borderId="0" xfId="1" applyNumberFormat="1" applyFont="1" applyAlignment="1">
      <alignment vertical="top"/>
    </xf>
    <xf numFmtId="164" fontId="5" fillId="0" borderId="1" xfId="1" applyNumberFormat="1" applyFont="1" applyBorder="1" applyAlignment="1">
      <alignment vertical="top"/>
    </xf>
    <xf numFmtId="164" fontId="4" fillId="2" borderId="0" xfId="0" applyNumberFormat="1" applyFont="1" applyFill="1"/>
    <xf numFmtId="164" fontId="4" fillId="0" borderId="0" xfId="0" applyNumberFormat="1" applyFont="1"/>
    <xf numFmtId="164" fontId="4" fillId="0" borderId="1" xfId="0" applyNumberFormat="1" applyFont="1" applyBorder="1"/>
    <xf numFmtId="164" fontId="3" fillId="2" borderId="0" xfId="0" applyNumberFormat="1" applyFont="1" applyFill="1"/>
    <xf numFmtId="43" fontId="3" fillId="0" borderId="0" xfId="1" applyFont="1"/>
    <xf numFmtId="43" fontId="9" fillId="0" borderId="0" xfId="1" applyFont="1"/>
    <xf numFmtId="165" fontId="3" fillId="0" borderId="0" xfId="1" applyNumberFormat="1" applyFont="1"/>
    <xf numFmtId="10" fontId="3" fillId="0" borderId="0" xfId="2" applyNumberFormat="1" applyFont="1"/>
    <xf numFmtId="2" fontId="3" fillId="0" borderId="0" xfId="0" applyNumberFormat="1" applyFont="1"/>
    <xf numFmtId="0" fontId="2" fillId="0" borderId="0" xfId="0" applyFont="1"/>
    <xf numFmtId="43" fontId="4" fillId="0" borderId="0" xfId="1" applyFont="1"/>
    <xf numFmtId="0" fontId="3" fillId="0" borderId="1" xfId="0" applyFont="1" applyBorder="1" applyAlignment="1">
      <alignment horizontal="left" indent="1"/>
    </xf>
    <xf numFmtId="164" fontId="5" fillId="0" borderId="1" xfId="1" applyNumberFormat="1" applyFont="1" applyBorder="1"/>
    <xf numFmtId="0" fontId="3" fillId="0" borderId="1" xfId="0" applyFont="1" applyBorder="1"/>
    <xf numFmtId="0" fontId="4" fillId="0" borderId="0" xfId="0" applyFont="1" applyAlignment="1">
      <alignment horizontal="left" indent="1"/>
    </xf>
    <xf numFmtId="10" fontId="4" fillId="0" borderId="0" xfId="2" applyNumberFormat="1" applyFont="1"/>
    <xf numFmtId="4" fontId="0" fillId="0" borderId="0" xfId="0" applyNumberFormat="1"/>
    <xf numFmtId="0" fontId="3" fillId="0" borderId="0" xfId="0" applyFont="1" applyAlignment="1">
      <alignment wrapText="1"/>
    </xf>
    <xf numFmtId="10" fontId="0" fillId="0" borderId="0" xfId="2" applyNumberFormat="1" applyFont="1"/>
    <xf numFmtId="43" fontId="3" fillId="0" borderId="1" xfId="1" applyFont="1" applyBorder="1"/>
    <xf numFmtId="0" fontId="0" fillId="0" borderId="0" xfId="0" applyAlignment="1">
      <alignment horizontal="left" vertical="center" indent="1"/>
    </xf>
    <xf numFmtId="0" fontId="2" fillId="0" borderId="0" xfId="0" applyFont="1" applyAlignment="1">
      <alignment horizontal="left" vertical="center" indent="1"/>
    </xf>
    <xf numFmtId="10" fontId="0" fillId="0" borderId="0" xfId="0" applyNumberFormat="1"/>
    <xf numFmtId="9" fontId="0" fillId="0" borderId="0" xfId="0" applyNumberFormat="1"/>
    <xf numFmtId="10" fontId="2" fillId="0" borderId="0" xfId="2" applyNumberFormat="1" applyFont="1"/>
    <xf numFmtId="43" fontId="4" fillId="0" borderId="0" xfId="0" applyNumberFormat="1" applyFont="1"/>
    <xf numFmtId="4" fontId="2" fillId="0" borderId="0" xfId="0" applyNumberFormat="1" applyFont="1"/>
    <xf numFmtId="4" fontId="3" fillId="0" borderId="0" xfId="0" applyNumberFormat="1" applyFont="1"/>
    <xf numFmtId="4" fontId="4" fillId="0" borderId="0" xfId="0" applyNumberFormat="1" applyFont="1"/>
    <xf numFmtId="166" fontId="0" fillId="0" borderId="0" xfId="2" applyNumberFormat="1" applyFont="1"/>
    <xf numFmtId="0" fontId="2" fillId="0" borderId="0" xfId="0" applyFont="1" applyAlignment="1">
      <alignment horizontal="center"/>
    </xf>
    <xf numFmtId="10" fontId="2" fillId="0" borderId="0" xfId="0" applyNumberFormat="1" applyFont="1"/>
    <xf numFmtId="164" fontId="6" fillId="0" borderId="0" xfId="1" applyNumberFormat="1" applyFont="1" applyAlignment="1">
      <alignment vertical="top"/>
    </xf>
    <xf numFmtId="0" fontId="10" fillId="0" borderId="0" xfId="0" applyFont="1"/>
    <xf numFmtId="0" fontId="11" fillId="0" borderId="1" xfId="0" applyFont="1" applyBorder="1"/>
    <xf numFmtId="9" fontId="3" fillId="0" borderId="0" xfId="2" applyFont="1" applyFill="1"/>
    <xf numFmtId="9" fontId="5" fillId="0" borderId="0" xfId="0" applyNumberFormat="1" applyFont="1"/>
    <xf numFmtId="0" fontId="13" fillId="0" borderId="2" xfId="0" applyFont="1" applyBorder="1"/>
    <xf numFmtId="0" fontId="3" fillId="0" borderId="3" xfId="0" applyFont="1" applyBorder="1"/>
    <xf numFmtId="0" fontId="12" fillId="0" borderId="4" xfId="0" applyFont="1" applyBorder="1"/>
    <xf numFmtId="0" fontId="3" fillId="0" borderId="5" xfId="0" applyFont="1" applyBorder="1"/>
    <xf numFmtId="164" fontId="5" fillId="0" borderId="0" xfId="1" applyNumberFormat="1" applyFont="1" applyAlignment="1">
      <alignment horizontal="right" vertical="top" indent="1"/>
    </xf>
    <xf numFmtId="164" fontId="5" fillId="0" borderId="0" xfId="0" applyNumberFormat="1" applyFont="1" applyAlignment="1">
      <alignment vertical="top"/>
    </xf>
    <xf numFmtId="164" fontId="5" fillId="0" borderId="1" xfId="0" applyNumberFormat="1" applyFont="1" applyBorder="1" applyAlignment="1">
      <alignment vertical="top"/>
    </xf>
    <xf numFmtId="164" fontId="5" fillId="0" borderId="0" xfId="0" applyNumberFormat="1" applyFont="1" applyAlignment="1">
      <alignment horizontal="right" vertical="top"/>
    </xf>
    <xf numFmtId="43" fontId="7" fillId="0" borderId="1" xfId="1" applyFont="1" applyBorder="1" applyAlignment="1">
      <alignment vertical="top"/>
    </xf>
    <xf numFmtId="164" fontId="4" fillId="0" borderId="1" xfId="0" applyNumberFormat="1" applyFont="1" applyBorder="1" applyAlignment="1">
      <alignment vertical="top"/>
    </xf>
    <xf numFmtId="164" fontId="7" fillId="0" borderId="0" xfId="0" applyNumberFormat="1" applyFont="1" applyAlignment="1">
      <alignment vertical="top"/>
    </xf>
    <xf numFmtId="164" fontId="7" fillId="0" borderId="0" xfId="1" applyNumberFormat="1" applyFont="1" applyAlignment="1">
      <alignment vertical="top"/>
    </xf>
    <xf numFmtId="164" fontId="9" fillId="0" borderId="0" xfId="0" applyNumberFormat="1" applyFont="1" applyAlignment="1">
      <alignment vertical="top"/>
    </xf>
    <xf numFmtId="0" fontId="3" fillId="0" borderId="0" xfId="0" applyFont="1" applyAlignment="1">
      <alignment horizontal="left" wrapText="1" indent="1"/>
    </xf>
    <xf numFmtId="0" fontId="14" fillId="0" borderId="0" xfId="0" applyFont="1"/>
    <xf numFmtId="43" fontId="3" fillId="0" borderId="0" xfId="1" applyFont="1" applyBorder="1"/>
    <xf numFmtId="43" fontId="3" fillId="2" borderId="0" xfId="1" applyFont="1" applyFill="1"/>
    <xf numFmtId="43" fontId="3" fillId="0" borderId="0" xfId="1" applyFont="1" applyFill="1"/>
    <xf numFmtId="43" fontId="4" fillId="2" borderId="0" xfId="1" applyFont="1" applyFill="1"/>
    <xf numFmtId="43" fontId="5" fillId="0" borderId="0" xfId="1" applyFont="1"/>
    <xf numFmtId="43" fontId="4" fillId="4" borderId="0" xfId="1" applyFont="1" applyFill="1" applyAlignment="1">
      <alignment horizontal="right"/>
    </xf>
    <xf numFmtId="43" fontId="3" fillId="5" borderId="0" xfId="1" applyFont="1" applyFill="1"/>
    <xf numFmtId="43" fontId="3" fillId="4" borderId="0" xfId="1" applyFont="1" applyFill="1"/>
    <xf numFmtId="43" fontId="3" fillId="4" borderId="1" xfId="1" applyFont="1" applyFill="1" applyBorder="1"/>
    <xf numFmtId="43" fontId="4" fillId="4" borderId="0" xfId="1" applyFont="1" applyFill="1"/>
    <xf numFmtId="43" fontId="4" fillId="4" borderId="1" xfId="1" applyFont="1" applyFill="1" applyBorder="1"/>
    <xf numFmtId="43" fontId="5" fillId="4" borderId="0" xfId="1" applyFont="1" applyFill="1" applyAlignment="1">
      <alignment vertical="top"/>
    </xf>
    <xf numFmtId="43" fontId="6" fillId="4" borderId="0" xfId="1" applyFont="1" applyFill="1" applyAlignment="1">
      <alignment vertical="top"/>
    </xf>
    <xf numFmtId="43" fontId="5" fillId="4" borderId="0" xfId="1" applyFont="1" applyFill="1"/>
    <xf numFmtId="43" fontId="7" fillId="4" borderId="0" xfId="1" applyFont="1" applyFill="1" applyAlignment="1">
      <alignment vertical="top"/>
    </xf>
    <xf numFmtId="0" fontId="4" fillId="0" borderId="8" xfId="0" applyFont="1" applyBorder="1"/>
    <xf numFmtId="164" fontId="4" fillId="0" borderId="8" xfId="1" applyNumberFormat="1" applyFont="1" applyBorder="1"/>
    <xf numFmtId="43" fontId="4" fillId="4" borderId="8" xfId="1" applyFont="1" applyFill="1" applyBorder="1"/>
    <xf numFmtId="0" fontId="7" fillId="0" borderId="8" xfId="0" applyFont="1" applyBorder="1" applyAlignment="1">
      <alignment vertical="top"/>
    </xf>
    <xf numFmtId="0" fontId="4" fillId="0" borderId="9" xfId="0" applyFont="1" applyBorder="1"/>
    <xf numFmtId="164" fontId="4" fillId="0" borderId="9" xfId="1" applyNumberFormat="1" applyFont="1" applyBorder="1"/>
    <xf numFmtId="43" fontId="4" fillId="4" borderId="9" xfId="1" applyFont="1" applyFill="1" applyBorder="1"/>
    <xf numFmtId="0" fontId="4" fillId="0" borderId="10" xfId="0" applyFont="1" applyBorder="1"/>
    <xf numFmtId="164" fontId="4" fillId="0" borderId="10" xfId="0" applyNumberFormat="1" applyFont="1" applyBorder="1"/>
    <xf numFmtId="43" fontId="4" fillId="4" borderId="10" xfId="1" applyFont="1" applyFill="1" applyBorder="1"/>
    <xf numFmtId="0" fontId="4" fillId="0" borderId="11" xfId="0" applyFont="1" applyBorder="1"/>
    <xf numFmtId="164" fontId="4" fillId="0" borderId="11" xfId="0" applyNumberFormat="1" applyFont="1" applyBorder="1"/>
    <xf numFmtId="164" fontId="6" fillId="0" borderId="10" xfId="1" applyNumberFormat="1" applyFont="1" applyBorder="1" applyAlignment="1">
      <alignment vertical="top"/>
    </xf>
    <xf numFmtId="43" fontId="3" fillId="4" borderId="10" xfId="1" applyFont="1" applyFill="1" applyBorder="1"/>
    <xf numFmtId="164" fontId="5" fillId="0" borderId="12" xfId="0" applyNumberFormat="1" applyFont="1" applyBorder="1" applyAlignment="1">
      <alignment vertical="top"/>
    </xf>
    <xf numFmtId="43" fontId="3" fillId="4" borderId="12" xfId="1" applyFont="1" applyFill="1" applyBorder="1"/>
    <xf numFmtId="164" fontId="5" fillId="0" borderId="0" xfId="1" applyNumberFormat="1" applyFont="1" applyBorder="1" applyAlignment="1">
      <alignment vertical="top"/>
    </xf>
    <xf numFmtId="43" fontId="3" fillId="4" borderId="0" xfId="1" applyFont="1" applyFill="1" applyBorder="1"/>
    <xf numFmtId="0" fontId="7" fillId="0" borderId="10" xfId="0" applyFont="1" applyBorder="1" applyAlignment="1">
      <alignment vertical="top"/>
    </xf>
    <xf numFmtId="164" fontId="7" fillId="0" borderId="10" xfId="1" applyNumberFormat="1" applyFont="1" applyFill="1" applyBorder="1" applyAlignment="1">
      <alignment vertical="top"/>
    </xf>
    <xf numFmtId="0" fontId="7" fillId="0" borderId="11" xfId="0" applyFont="1" applyBorder="1" applyAlignment="1">
      <alignment vertical="top"/>
    </xf>
    <xf numFmtId="43" fontId="7" fillId="5" borderId="10" xfId="1" applyFont="1" applyFill="1" applyBorder="1" applyAlignment="1">
      <alignment vertical="top"/>
    </xf>
    <xf numFmtId="43" fontId="4" fillId="0" borderId="10" xfId="1" applyFont="1" applyBorder="1"/>
    <xf numFmtId="9" fontId="5" fillId="0" borderId="0" xfId="0" applyNumberFormat="1" applyFont="1" applyAlignment="1">
      <alignment horizontal="center"/>
    </xf>
    <xf numFmtId="0" fontId="4" fillId="0" borderId="13" xfId="0" applyFont="1" applyBorder="1"/>
    <xf numFmtId="0" fontId="4" fillId="0" borderId="14" xfId="0" applyFont="1" applyBorder="1"/>
    <xf numFmtId="0" fontId="3" fillId="0" borderId="14" xfId="0" applyFont="1" applyBorder="1"/>
    <xf numFmtId="0" fontId="3" fillId="0" borderId="15" xfId="0" applyFont="1" applyBorder="1"/>
    <xf numFmtId="0" fontId="6" fillId="0" borderId="0" xfId="0" applyFont="1" applyAlignment="1">
      <alignment horizontal="left" vertical="top" indent="2"/>
    </xf>
    <xf numFmtId="0" fontId="7" fillId="0" borderId="0" xfId="0" applyFont="1" applyAlignment="1">
      <alignment horizontal="left" vertical="top" indent="1"/>
    </xf>
    <xf numFmtId="10" fontId="3" fillId="0" borderId="14" xfId="0" applyNumberFormat="1" applyFont="1" applyBorder="1"/>
    <xf numFmtId="10" fontId="4" fillId="5" borderId="0" xfId="2" applyNumberFormat="1" applyFont="1" applyFill="1"/>
    <xf numFmtId="10" fontId="3" fillId="5" borderId="0" xfId="2" applyNumberFormat="1" applyFont="1" applyFill="1"/>
    <xf numFmtId="10" fontId="5" fillId="5" borderId="0" xfId="2" applyNumberFormat="1" applyFont="1" applyFill="1"/>
    <xf numFmtId="10" fontId="5" fillId="5" borderId="14" xfId="2" applyNumberFormat="1" applyFont="1" applyFill="1" applyBorder="1" applyAlignment="1">
      <alignment horizontal="center"/>
    </xf>
    <xf numFmtId="10" fontId="5" fillId="5" borderId="14" xfId="2" applyNumberFormat="1" applyFont="1" applyFill="1" applyBorder="1"/>
    <xf numFmtId="10" fontId="5" fillId="5" borderId="15" xfId="2" applyNumberFormat="1" applyFont="1" applyFill="1" applyBorder="1"/>
    <xf numFmtId="10" fontId="3" fillId="0" borderId="14" xfId="2" applyNumberFormat="1" applyFont="1" applyBorder="1"/>
    <xf numFmtId="10" fontId="3" fillId="0" borderId="15" xfId="2" applyNumberFormat="1" applyFont="1" applyBorder="1"/>
    <xf numFmtId="43" fontId="4" fillId="5" borderId="11" xfId="1" applyFont="1" applyFill="1" applyBorder="1"/>
    <xf numFmtId="4" fontId="4" fillId="0" borderId="11" xfId="0" applyNumberFormat="1" applyFont="1" applyBorder="1"/>
    <xf numFmtId="43" fontId="3" fillId="5" borderId="0" xfId="1" applyFont="1" applyFill="1" applyBorder="1"/>
    <xf numFmtId="10" fontId="5" fillId="0" borderId="0" xfId="2" applyNumberFormat="1" applyFont="1"/>
    <xf numFmtId="0" fontId="15" fillId="0" borderId="0" xfId="0" applyFont="1"/>
    <xf numFmtId="0" fontId="3" fillId="0" borderId="1" xfId="0" applyFont="1" applyBorder="1" applyAlignment="1">
      <alignment horizontal="left" wrapText="1" indent="1"/>
    </xf>
    <xf numFmtId="0" fontId="4" fillId="0" borderId="12" xfId="0" applyFont="1" applyBorder="1" applyAlignment="1">
      <alignment horizontal="right"/>
    </xf>
    <xf numFmtId="43" fontId="4" fillId="0" borderId="12" xfId="1" applyFont="1" applyFill="1" applyBorder="1" applyAlignment="1">
      <alignment horizontal="right"/>
    </xf>
    <xf numFmtId="164" fontId="6" fillId="4" borderId="0" xfId="1" applyNumberFormat="1" applyFont="1" applyFill="1" applyAlignment="1">
      <alignment vertical="top"/>
    </xf>
    <xf numFmtId="0" fontId="4" fillId="0" borderId="12" xfId="0" applyFont="1" applyBorder="1"/>
    <xf numFmtId="10" fontId="16" fillId="0" borderId="0" xfId="2" applyNumberFormat="1" applyFont="1"/>
    <xf numFmtId="10" fontId="16" fillId="4" borderId="0" xfId="2" applyNumberFormat="1" applyFont="1" applyFill="1"/>
    <xf numFmtId="43" fontId="4" fillId="4" borderId="0" xfId="0" applyNumberFormat="1" applyFont="1" applyFill="1"/>
    <xf numFmtId="167" fontId="3" fillId="4" borderId="0" xfId="1" applyNumberFormat="1" applyFont="1" applyFill="1"/>
    <xf numFmtId="167" fontId="6" fillId="5" borderId="0" xfId="1" applyNumberFormat="1" applyFont="1" applyFill="1" applyBorder="1" applyAlignment="1">
      <alignment vertical="top"/>
    </xf>
    <xf numFmtId="0" fontId="3" fillId="0" borderId="11" xfId="0" applyFont="1" applyBorder="1"/>
    <xf numFmtId="43" fontId="4" fillId="0" borderId="11" xfId="1" applyFont="1" applyBorder="1"/>
    <xf numFmtId="164" fontId="5" fillId="0" borderId="0" xfId="0" applyNumberFormat="1" applyFont="1"/>
    <xf numFmtId="43" fontId="5" fillId="5" borderId="0" xfId="1" applyFont="1" applyFill="1" applyBorder="1"/>
    <xf numFmtId="43" fontId="3" fillId="0" borderId="0" xfId="0" applyNumberFormat="1" applyFont="1"/>
    <xf numFmtId="43" fontId="4" fillId="0" borderId="11" xfId="0" applyNumberFormat="1" applyFont="1" applyBorder="1"/>
    <xf numFmtId="167" fontId="5" fillId="4" borderId="0" xfId="1" applyNumberFormat="1" applyFont="1" applyFill="1"/>
    <xf numFmtId="167" fontId="6" fillId="4" borderId="0" xfId="1" applyNumberFormat="1" applyFont="1" applyFill="1" applyAlignment="1">
      <alignment horizontal="right" vertical="top"/>
    </xf>
    <xf numFmtId="167" fontId="4" fillId="4" borderId="1" xfId="1" applyNumberFormat="1" applyFont="1" applyFill="1" applyBorder="1"/>
    <xf numFmtId="167" fontId="3" fillId="4" borderId="0" xfId="1" applyNumberFormat="1" applyFont="1" applyFill="1" applyAlignment="1">
      <alignment vertical="top"/>
    </xf>
    <xf numFmtId="167" fontId="4" fillId="4" borderId="1" xfId="1" applyNumberFormat="1" applyFont="1" applyFill="1" applyBorder="1" applyAlignment="1">
      <alignment vertical="top"/>
    </xf>
    <xf numFmtId="167" fontId="4" fillId="4" borderId="11" xfId="1" applyNumberFormat="1" applyFont="1" applyFill="1" applyBorder="1"/>
    <xf numFmtId="167" fontId="4" fillId="0" borderId="11" xfId="1" applyNumberFormat="1" applyFont="1" applyBorder="1"/>
    <xf numFmtId="0" fontId="4" fillId="3" borderId="6" xfId="0" applyFont="1" applyFill="1" applyBorder="1" applyAlignment="1">
      <alignment horizontal="left"/>
    </xf>
    <xf numFmtId="0" fontId="4" fillId="3" borderId="7" xfId="0" applyFont="1" applyFill="1" applyBorder="1" applyAlignment="1">
      <alignment horizontal="left"/>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EFF9FF"/>
      <color rgb="FFE7F6FF"/>
      <color rgb="FFEBE8F8"/>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39</xdr:row>
      <xdr:rowOff>0</xdr:rowOff>
    </xdr:from>
    <xdr:to>
      <xdr:col>5</xdr:col>
      <xdr:colOff>742951</xdr:colOff>
      <xdr:row>44</xdr:row>
      <xdr:rowOff>77127</xdr:rowOff>
    </xdr:to>
    <xdr:pic>
      <xdr:nvPicPr>
        <xdr:cNvPr id="2" name="Picture 1">
          <a:extLst>
            <a:ext uri="{FF2B5EF4-FFF2-40B4-BE49-F238E27FC236}">
              <a16:creationId xmlns:a16="http://schemas.microsoft.com/office/drawing/2014/main" id="{E2BC5ED7-907A-5929-40E0-1343A482191F}"/>
            </a:ext>
          </a:extLst>
        </xdr:cNvPr>
        <xdr:cNvPicPr>
          <a:picLocks noChangeAspect="1"/>
        </xdr:cNvPicPr>
      </xdr:nvPicPr>
      <xdr:blipFill>
        <a:blip xmlns:r="http://schemas.openxmlformats.org/officeDocument/2006/relationships" r:embed="rId1"/>
        <a:stretch>
          <a:fillRect/>
        </a:stretch>
      </xdr:blipFill>
      <xdr:spPr>
        <a:xfrm>
          <a:off x="1" y="7181850"/>
          <a:ext cx="4476750" cy="997877"/>
        </a:xfrm>
        <a:prstGeom prst="rect">
          <a:avLst/>
        </a:prstGeom>
      </xdr:spPr>
    </xdr:pic>
    <xdr:clientData/>
  </xdr:twoCellAnchor>
  <xdr:twoCellAnchor editAs="oneCell">
    <xdr:from>
      <xdr:col>0</xdr:col>
      <xdr:colOff>0</xdr:colOff>
      <xdr:row>48</xdr:row>
      <xdr:rowOff>0</xdr:rowOff>
    </xdr:from>
    <xdr:to>
      <xdr:col>8</xdr:col>
      <xdr:colOff>1289426</xdr:colOff>
      <xdr:row>55</xdr:row>
      <xdr:rowOff>139773</xdr:rowOff>
    </xdr:to>
    <xdr:pic>
      <xdr:nvPicPr>
        <xdr:cNvPr id="3" name="Picture 2">
          <a:extLst>
            <a:ext uri="{FF2B5EF4-FFF2-40B4-BE49-F238E27FC236}">
              <a16:creationId xmlns:a16="http://schemas.microsoft.com/office/drawing/2014/main" id="{F5E76B90-2021-CCA1-2A0A-5D47E698910B}"/>
            </a:ext>
          </a:extLst>
        </xdr:cNvPr>
        <xdr:cNvPicPr>
          <a:picLocks noChangeAspect="1"/>
        </xdr:cNvPicPr>
      </xdr:nvPicPr>
      <xdr:blipFill>
        <a:blip xmlns:r="http://schemas.openxmlformats.org/officeDocument/2006/relationships" r:embed="rId2"/>
        <a:stretch>
          <a:fillRect/>
        </a:stretch>
      </xdr:blipFill>
      <xdr:spPr>
        <a:xfrm>
          <a:off x="0" y="8839200"/>
          <a:ext cx="7315576" cy="142882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5F9E-1F64-4AB6-923E-058B11AB577D}">
  <dimension ref="B2:I18"/>
  <sheetViews>
    <sheetView workbookViewId="0">
      <selection activeCell="I18" sqref="I18"/>
    </sheetView>
  </sheetViews>
  <sheetFormatPr defaultRowHeight="14.5" x14ac:dyDescent="0.35"/>
  <cols>
    <col min="1" max="1" width="8.7265625" style="1"/>
    <col min="2" max="2" width="59" style="1" bestFit="1" customWidth="1"/>
    <col min="3" max="9" width="12.6328125" style="1" customWidth="1"/>
    <col min="10" max="16384" width="8.7265625" style="1"/>
  </cols>
  <sheetData>
    <row r="2" spans="2:9" ht="21" x14ac:dyDescent="0.5">
      <c r="B2" s="53" t="s">
        <v>257</v>
      </c>
    </row>
    <row r="3" spans="2:9" x14ac:dyDescent="0.35">
      <c r="B3" s="71" t="s">
        <v>258</v>
      </c>
    </row>
    <row r="5" spans="2:9" x14ac:dyDescent="0.35">
      <c r="B5" s="135" t="s">
        <v>259</v>
      </c>
      <c r="C5" s="132" t="s">
        <v>23</v>
      </c>
      <c r="D5" s="132" t="s">
        <v>24</v>
      </c>
      <c r="E5" s="132" t="s">
        <v>25</v>
      </c>
      <c r="F5" s="133" t="s">
        <v>26</v>
      </c>
      <c r="G5" s="133" t="s">
        <v>27</v>
      </c>
      <c r="H5" s="133" t="s">
        <v>28</v>
      </c>
      <c r="I5" s="133" t="s">
        <v>29</v>
      </c>
    </row>
    <row r="6" spans="2:9" x14ac:dyDescent="0.35">
      <c r="B6" s="2" t="s">
        <v>260</v>
      </c>
      <c r="C6" s="24">
        <f>Model!C16</f>
        <v>6863.2000000000007</v>
      </c>
      <c r="D6" s="24">
        <f>Model!D16</f>
        <v>8011.8</v>
      </c>
      <c r="E6" s="24">
        <f>Model!E16</f>
        <v>10229.9</v>
      </c>
      <c r="F6" s="79">
        <f>Model!F16</f>
        <v>13605.767</v>
      </c>
      <c r="G6" s="79">
        <f>Model!G16</f>
        <v>17551.439429999999</v>
      </c>
      <c r="H6" s="79">
        <f>Model!H16</f>
        <v>21412.756104599997</v>
      </c>
      <c r="I6" s="79">
        <f>Model!I16</f>
        <v>25052.924642381997</v>
      </c>
    </row>
    <row r="7" spans="2:9" x14ac:dyDescent="0.35">
      <c r="B7" s="1" t="s">
        <v>261</v>
      </c>
      <c r="D7" s="136">
        <f>D6/C6-1</f>
        <v>0.16735633523720694</v>
      </c>
      <c r="E7" s="136">
        <f t="shared" ref="E7:I7" si="0">E6/D6-1</f>
        <v>0.27685414014328869</v>
      </c>
      <c r="F7" s="137">
        <f t="shared" si="0"/>
        <v>0.33000000000000007</v>
      </c>
      <c r="G7" s="137">
        <f t="shared" si="0"/>
        <v>0.28999999999999981</v>
      </c>
      <c r="H7" s="137">
        <f t="shared" si="0"/>
        <v>0.21999999999999997</v>
      </c>
      <c r="I7" s="137">
        <f t="shared" si="0"/>
        <v>0.16999999999999993</v>
      </c>
    </row>
    <row r="8" spans="2:9" x14ac:dyDescent="0.35">
      <c r="B8" s="1" t="s">
        <v>152</v>
      </c>
      <c r="C8" s="136">
        <f>Model!C22/Model!C16</f>
        <v>0.34976395850332215</v>
      </c>
      <c r="D8" s="136">
        <f>Model!D22/Model!D16</f>
        <v>0.36623480366459482</v>
      </c>
      <c r="E8" s="136">
        <f>Model!E22/Model!E16</f>
        <v>0.36317070548099201</v>
      </c>
      <c r="F8" s="137">
        <f>Model!F22/Model!F16</f>
        <v>0.36</v>
      </c>
      <c r="G8" s="137">
        <f>Model!G22/Model!G16</f>
        <v>0.36</v>
      </c>
      <c r="H8" s="137">
        <f>Model!H22/Model!H16</f>
        <v>0.36</v>
      </c>
      <c r="I8" s="137">
        <f>Model!I22/Model!I16</f>
        <v>0.36</v>
      </c>
    </row>
    <row r="9" spans="2:9" x14ac:dyDescent="0.35">
      <c r="B9" s="2" t="s">
        <v>262</v>
      </c>
      <c r="C9" s="24">
        <f>Model!C29</f>
        <v>872.20000000000095</v>
      </c>
      <c r="D9" s="24">
        <f>Model!D29</f>
        <v>1367.4000000000008</v>
      </c>
      <c r="E9" s="24">
        <f>Model!E29</f>
        <v>1829.6999999999998</v>
      </c>
      <c r="F9" s="79">
        <f>Model!F29</f>
        <v>2511.2822349999997</v>
      </c>
      <c r="G9" s="79">
        <f>Model!G29</f>
        <v>3467.3022802999994</v>
      </c>
      <c r="H9" s="79">
        <f>Model!H29</f>
        <v>4397.6425624889989</v>
      </c>
      <c r="I9" s="79">
        <f>Model!I29</f>
        <v>5356.9434213240384</v>
      </c>
    </row>
    <row r="10" spans="2:9" x14ac:dyDescent="0.35">
      <c r="B10" s="1" t="s">
        <v>263</v>
      </c>
      <c r="C10" s="136">
        <f>C9/C6</f>
        <v>0.12708357617437943</v>
      </c>
      <c r="D10" s="136">
        <f t="shared" ref="D10:I10" si="1">D9/D6</f>
        <v>0.17067325694600474</v>
      </c>
      <c r="E10" s="136">
        <f t="shared" si="1"/>
        <v>0.17885805335340521</v>
      </c>
      <c r="F10" s="137">
        <f t="shared" si="1"/>
        <v>0.18457483764053872</v>
      </c>
      <c r="G10" s="137">
        <f t="shared" si="1"/>
        <v>0.19755087861189741</v>
      </c>
      <c r="H10" s="137">
        <f t="shared" si="1"/>
        <v>0.20537489620704524</v>
      </c>
      <c r="I10" s="137">
        <f t="shared" si="1"/>
        <v>0.2138250722337505</v>
      </c>
    </row>
    <row r="11" spans="2:9" x14ac:dyDescent="0.35">
      <c r="B11" s="2" t="s">
        <v>264</v>
      </c>
      <c r="C11" s="24">
        <f>Model!C38</f>
        <v>460.20000000000095</v>
      </c>
      <c r="D11" s="24">
        <f>Model!D38</f>
        <v>495.80000000000075</v>
      </c>
      <c r="E11" s="24">
        <f>Model!E38</f>
        <v>1332.7999999999997</v>
      </c>
      <c r="F11" s="79">
        <f>Model!F38</f>
        <v>1805.6250055119435</v>
      </c>
      <c r="G11" s="79">
        <f>Model!G38</f>
        <v>2537.8120479403315</v>
      </c>
      <c r="H11" s="79">
        <f>Model!H38</f>
        <v>3250.3540715888034</v>
      </c>
      <c r="I11" s="79">
        <f>Model!I38</f>
        <v>3985.0509363714964</v>
      </c>
    </row>
    <row r="12" spans="2:9" x14ac:dyDescent="0.35">
      <c r="B12" s="136" t="s">
        <v>265</v>
      </c>
      <c r="C12" s="136">
        <f>C11/C6</f>
        <v>6.7053269611843005E-2</v>
      </c>
      <c r="D12" s="136">
        <f t="shared" ref="D12:I12" si="2">D11/D6</f>
        <v>6.1883721510771705E-2</v>
      </c>
      <c r="E12" s="136">
        <f t="shared" si="2"/>
        <v>0.13028475351665214</v>
      </c>
      <c r="F12" s="137">
        <f t="shared" si="2"/>
        <v>0.13271026951379836</v>
      </c>
      <c r="G12" s="137">
        <f t="shared" si="2"/>
        <v>0.14459281576658306</v>
      </c>
      <c r="H12" s="137">
        <f t="shared" si="2"/>
        <v>0.15179522223626998</v>
      </c>
      <c r="I12" s="137">
        <f t="shared" si="2"/>
        <v>0.15906529849333403</v>
      </c>
    </row>
    <row r="13" spans="2:9" x14ac:dyDescent="0.35">
      <c r="B13" s="2" t="s">
        <v>266</v>
      </c>
      <c r="C13" s="24">
        <f>Model!C112</f>
        <v>900.50000000000091</v>
      </c>
      <c r="D13" s="24">
        <f>Model!D112</f>
        <v>1319.3000000000004</v>
      </c>
      <c r="E13" s="24">
        <f>Model!E112</f>
        <v>2113.7999999999997</v>
      </c>
      <c r="F13" s="79">
        <f>Model!F112</f>
        <v>2592.6010145804371</v>
      </c>
      <c r="G13" s="79">
        <f>Model!G112</f>
        <v>2505.3321444508792</v>
      </c>
      <c r="H13" s="79">
        <f>Model!H112</f>
        <v>3209.2657931304097</v>
      </c>
      <c r="I13" s="79">
        <f>Model!I112</f>
        <v>4089.9431969541365</v>
      </c>
    </row>
    <row r="14" spans="2:9" x14ac:dyDescent="0.35">
      <c r="B14" s="1" t="s">
        <v>267</v>
      </c>
      <c r="C14" s="52">
        <f>Model!C115</f>
        <v>-127.9</v>
      </c>
      <c r="D14" s="52">
        <f>Model!D115</f>
        <v>-167</v>
      </c>
      <c r="E14" s="52">
        <f>Model!E115</f>
        <v>-220</v>
      </c>
      <c r="F14" s="134">
        <f>Model!F115</f>
        <v>-476.20184500000005</v>
      </c>
      <c r="G14" s="134">
        <f>Model!G115</f>
        <v>-526.54318289999992</v>
      </c>
      <c r="H14" s="134">
        <f>Model!H115</f>
        <v>-535.31890261499996</v>
      </c>
      <c r="I14" s="134">
        <f>Model!I115</f>
        <v>-501.05849284763997</v>
      </c>
    </row>
    <row r="15" spans="2:9" x14ac:dyDescent="0.35">
      <c r="B15" s="2" t="s">
        <v>268</v>
      </c>
      <c r="C15" s="45">
        <f>SUM(C13:C14)</f>
        <v>772.60000000000093</v>
      </c>
      <c r="D15" s="45">
        <f t="shared" ref="D15:I15" si="3">SUM(D13:D14)</f>
        <v>1152.3000000000004</v>
      </c>
      <c r="E15" s="45">
        <f t="shared" si="3"/>
        <v>1893.7999999999997</v>
      </c>
      <c r="F15" s="138">
        <f t="shared" si="3"/>
        <v>2116.399169580437</v>
      </c>
      <c r="G15" s="138">
        <f t="shared" si="3"/>
        <v>1978.7889615508793</v>
      </c>
      <c r="H15" s="138">
        <f t="shared" si="3"/>
        <v>2673.9468905154099</v>
      </c>
      <c r="I15" s="138">
        <f t="shared" si="3"/>
        <v>3588.8847041064964</v>
      </c>
    </row>
    <row r="16" spans="2:9" x14ac:dyDescent="0.35">
      <c r="B16" s="1" t="s">
        <v>269</v>
      </c>
      <c r="C16" s="24">
        <f>Model!C46</f>
        <v>780.4</v>
      </c>
      <c r="D16" s="24">
        <f>Model!D46</f>
        <v>1227.5999999999999</v>
      </c>
      <c r="E16" s="24">
        <f>Model!E46</f>
        <v>1728.4</v>
      </c>
      <c r="F16" s="79">
        <f>Model!F46</f>
        <v>3426.7179193048391</v>
      </c>
      <c r="G16" s="79">
        <f>Model!G46</f>
        <v>5257.7162784587026</v>
      </c>
      <c r="H16" s="79">
        <f>Model!H46</f>
        <v>7748.2454653946725</v>
      </c>
      <c r="I16" s="79">
        <f>Model!I46</f>
        <v>11116.977622682594</v>
      </c>
    </row>
    <row r="17" spans="2:9" x14ac:dyDescent="0.35">
      <c r="B17" s="1" t="s">
        <v>270</v>
      </c>
      <c r="C17" s="24">
        <f>Model!C70+Model!C78</f>
        <v>2940.9</v>
      </c>
      <c r="D17" s="24">
        <f>Model!D70+Model!D78</f>
        <v>2928.2</v>
      </c>
      <c r="E17" s="24">
        <f>Model!E70+Model!E78</f>
        <v>2913</v>
      </c>
      <c r="F17" s="79">
        <f>Model!F70+Model!F78</f>
        <v>2892.1</v>
      </c>
      <c r="G17" s="79">
        <f>Model!G70+Model!G78</f>
        <v>2871.2</v>
      </c>
      <c r="H17" s="79">
        <f>Model!H70+Model!H78</f>
        <v>2850.2999999999997</v>
      </c>
      <c r="I17" s="79">
        <f>Model!I70+Model!I78</f>
        <v>2829.3999999999996</v>
      </c>
    </row>
    <row r="18" spans="2:9" x14ac:dyDescent="0.35">
      <c r="B18" s="2" t="s">
        <v>271</v>
      </c>
      <c r="C18" s="68">
        <f>Model!C46+Model!C47-Model!C70-Model!C78</f>
        <v>-2160.5</v>
      </c>
      <c r="D18" s="68">
        <f>Model!D46+Model!D47-Model!D70-Model!D78</f>
        <v>-1700.6</v>
      </c>
      <c r="E18" s="68">
        <f>Model!E46+Model!E47-Model!E70-Model!E78</f>
        <v>-1085.0999999999999</v>
      </c>
      <c r="F18" s="86">
        <f>Model!F46+Model!F47-Model!F70-Model!F78</f>
        <v>634.11791930483923</v>
      </c>
      <c r="G18" s="86">
        <f>Model!G46+Model!G47-Model!G70-Model!G78</f>
        <v>2486.0162784587033</v>
      </c>
      <c r="H18" s="86">
        <f>Model!H46+Model!H47-Model!H70-Model!H78</f>
        <v>4997.4454653946732</v>
      </c>
      <c r="I18" s="86">
        <f>Model!I46+Model!I47-Model!I70-Model!I78</f>
        <v>8387.0776226825947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37BA3-FD81-4359-BE48-C0D2BE50CDCA}">
  <dimension ref="B1:M287"/>
  <sheetViews>
    <sheetView showGridLines="0" tabSelected="1" topLeftCell="A41" zoomScale="82" zoomScaleNormal="82" workbookViewId="0">
      <selection activeCell="H49" sqref="H49"/>
    </sheetView>
  </sheetViews>
  <sheetFormatPr defaultRowHeight="14.5" x14ac:dyDescent="0.35"/>
  <cols>
    <col min="1" max="1" width="8.7265625" style="1"/>
    <col min="2" max="2" width="53.7265625" style="1" customWidth="1"/>
    <col min="3" max="3" width="30.08984375" style="1" customWidth="1"/>
    <col min="4" max="4" width="15.453125" style="1" bestFit="1" customWidth="1"/>
    <col min="5" max="5" width="16.453125" style="1" bestFit="1" customWidth="1"/>
    <col min="6" max="6" width="14.81640625" style="24" customWidth="1"/>
    <col min="7" max="7" width="14.54296875" style="24" customWidth="1"/>
    <col min="8" max="8" width="14" style="24" customWidth="1"/>
    <col min="9" max="9" width="15.81640625" style="24" customWidth="1"/>
    <col min="10" max="16384" width="8.7265625" style="1"/>
  </cols>
  <sheetData>
    <row r="1" spans="2:10" ht="21" x14ac:dyDescent="0.5">
      <c r="B1" s="130"/>
      <c r="F1" s="72"/>
      <c r="G1" s="72"/>
      <c r="H1" s="72"/>
      <c r="I1" s="72"/>
    </row>
    <row r="2" spans="2:10" ht="21" x14ac:dyDescent="0.5">
      <c r="B2" s="53" t="s">
        <v>257</v>
      </c>
      <c r="F2" s="72"/>
      <c r="G2" s="72"/>
      <c r="H2" s="72"/>
      <c r="I2" s="72"/>
    </row>
    <row r="3" spans="2:10" s="33" customFormat="1" ht="21.5" thickBot="1" x14ac:dyDescent="0.55000000000000004">
      <c r="B3" s="54" t="s">
        <v>250</v>
      </c>
      <c r="F3" s="39"/>
      <c r="G3" s="39"/>
      <c r="H3" s="39"/>
      <c r="I3" s="39"/>
    </row>
    <row r="4" spans="2:10" ht="15" thickBot="1" x14ac:dyDescent="0.4">
      <c r="F4" s="72"/>
      <c r="G4" s="72"/>
      <c r="H4" s="72"/>
      <c r="I4" s="72"/>
    </row>
    <row r="5" spans="2:10" ht="15" thickBot="1" x14ac:dyDescent="0.4">
      <c r="B5" s="154" t="s">
        <v>251</v>
      </c>
      <c r="C5" s="155"/>
      <c r="F5" s="72"/>
      <c r="G5" s="72"/>
      <c r="H5" s="72"/>
      <c r="I5" s="72"/>
    </row>
    <row r="6" spans="2:10" x14ac:dyDescent="0.35">
      <c r="B6" s="57" t="s">
        <v>252</v>
      </c>
      <c r="C6" s="58" t="s">
        <v>253</v>
      </c>
      <c r="F6" s="72"/>
      <c r="G6" s="72"/>
      <c r="H6" s="72"/>
      <c r="I6" s="72"/>
    </row>
    <row r="7" spans="2:10" ht="15" thickBot="1" x14ac:dyDescent="0.4">
      <c r="B7" s="59" t="s">
        <v>254</v>
      </c>
      <c r="C7" s="60" t="s">
        <v>255</v>
      </c>
      <c r="F7" s="72"/>
      <c r="G7" s="72"/>
      <c r="H7" s="72"/>
      <c r="I7" s="72"/>
    </row>
    <row r="9" spans="2:10" x14ac:dyDescent="0.35">
      <c r="B9" s="6" t="s">
        <v>0</v>
      </c>
      <c r="C9" s="7"/>
      <c r="D9" s="7"/>
      <c r="E9" s="7"/>
      <c r="F9" s="73"/>
      <c r="G9" s="73"/>
      <c r="H9" s="73"/>
      <c r="I9" s="73"/>
    </row>
    <row r="10" spans="2:10" x14ac:dyDescent="0.35">
      <c r="B10" s="71" t="s">
        <v>256</v>
      </c>
      <c r="F10" s="74"/>
      <c r="G10" s="74"/>
      <c r="H10" s="74"/>
      <c r="I10" s="74"/>
    </row>
    <row r="12" spans="2:10" x14ac:dyDescent="0.35">
      <c r="C12" s="8" t="s">
        <v>23</v>
      </c>
      <c r="D12" s="8" t="s">
        <v>24</v>
      </c>
      <c r="E12" s="8" t="s">
        <v>25</v>
      </c>
      <c r="F12" s="77" t="s">
        <v>26</v>
      </c>
      <c r="G12" s="77" t="s">
        <v>27</v>
      </c>
      <c r="H12" s="77" t="s">
        <v>28</v>
      </c>
      <c r="I12" s="77" t="s">
        <v>29</v>
      </c>
    </row>
    <row r="13" spans="2:10" x14ac:dyDescent="0.35">
      <c r="B13" s="2" t="s">
        <v>1</v>
      </c>
      <c r="C13" s="13"/>
      <c r="D13" s="13"/>
      <c r="E13" s="13"/>
    </row>
    <row r="14" spans="2:10" x14ac:dyDescent="0.35">
      <c r="B14" s="3" t="s">
        <v>2</v>
      </c>
      <c r="C14" s="14">
        <v>5406.1</v>
      </c>
      <c r="D14" s="14">
        <v>6393.5</v>
      </c>
      <c r="E14" s="14">
        <v>8390.6</v>
      </c>
      <c r="F14" s="79"/>
      <c r="G14" s="79"/>
      <c r="H14" s="79"/>
      <c r="I14" s="79"/>
    </row>
    <row r="15" spans="2:10" ht="15" thickBot="1" x14ac:dyDescent="0.4">
      <c r="B15" s="31" t="s">
        <v>3</v>
      </c>
      <c r="C15" s="32">
        <v>1457.1</v>
      </c>
      <c r="D15" s="32">
        <v>1618.3</v>
      </c>
      <c r="E15" s="32">
        <v>1839.3</v>
      </c>
      <c r="F15" s="80"/>
      <c r="G15" s="80"/>
      <c r="H15" s="80"/>
      <c r="I15" s="80"/>
    </row>
    <row r="16" spans="2:10" x14ac:dyDescent="0.35">
      <c r="B16" s="2" t="s">
        <v>4</v>
      </c>
      <c r="C16" s="15">
        <f>SUM(C14:C15)</f>
        <v>6863.2000000000007</v>
      </c>
      <c r="D16" s="15">
        <f t="shared" ref="D16:E16" si="0">SUM(D14:D15)</f>
        <v>8011.8</v>
      </c>
      <c r="E16" s="15">
        <f t="shared" si="0"/>
        <v>10229.9</v>
      </c>
      <c r="F16" s="81">
        <f>E16*(1+F196)</f>
        <v>13605.767</v>
      </c>
      <c r="G16" s="81">
        <f>F16*(1+G196)</f>
        <v>17551.439429999999</v>
      </c>
      <c r="H16" s="81">
        <f>G16*(1+H196)</f>
        <v>21412.756104599997</v>
      </c>
      <c r="I16" s="81">
        <f>H16*(1+I196)</f>
        <v>25052.924642381997</v>
      </c>
      <c r="J16" s="55"/>
    </row>
    <row r="17" spans="2:10" x14ac:dyDescent="0.35">
      <c r="C17" s="16"/>
      <c r="D17" s="16"/>
      <c r="E17" s="47"/>
    </row>
    <row r="18" spans="2:10" x14ac:dyDescent="0.35">
      <c r="B18" s="2" t="s">
        <v>5</v>
      </c>
      <c r="C18" s="16"/>
      <c r="D18" s="16"/>
    </row>
    <row r="19" spans="2:10" x14ac:dyDescent="0.35">
      <c r="B19" s="3" t="s">
        <v>6</v>
      </c>
      <c r="C19" s="14">
        <v>3575.7</v>
      </c>
      <c r="D19" s="14">
        <v>4099.3999999999996</v>
      </c>
      <c r="E19" s="14">
        <v>5447.2</v>
      </c>
      <c r="F19" s="79"/>
      <c r="G19" s="79"/>
      <c r="H19" s="79"/>
      <c r="I19" s="79"/>
    </row>
    <row r="20" spans="2:10" x14ac:dyDescent="0.35">
      <c r="B20" s="3" t="s">
        <v>7</v>
      </c>
      <c r="C20" s="14">
        <v>887</v>
      </c>
      <c r="D20" s="14">
        <v>978.2</v>
      </c>
      <c r="E20" s="14">
        <v>1067.5</v>
      </c>
      <c r="F20" s="79"/>
      <c r="G20" s="79"/>
      <c r="H20" s="79"/>
      <c r="I20" s="79"/>
    </row>
    <row r="21" spans="2:10" ht="15" thickBot="1" x14ac:dyDescent="0.4">
      <c r="B21" s="87" t="s">
        <v>8</v>
      </c>
      <c r="C21" s="88">
        <f t="shared" ref="C21:E21" si="1">SUM(C19:C20)</f>
        <v>4462.7</v>
      </c>
      <c r="D21" s="88">
        <f t="shared" si="1"/>
        <v>5077.5999999999995</v>
      </c>
      <c r="E21" s="88">
        <f t="shared" si="1"/>
        <v>6514.7</v>
      </c>
      <c r="F21" s="89">
        <f>F16-F22</f>
        <v>8707.6908800000001</v>
      </c>
      <c r="G21" s="89">
        <f t="shared" ref="G21:I21" si="2">G16-G22</f>
        <v>11232.9212352</v>
      </c>
      <c r="H21" s="89">
        <f t="shared" si="2"/>
        <v>13704.163906943999</v>
      </c>
      <c r="I21" s="89">
        <f t="shared" si="2"/>
        <v>16033.871771124479</v>
      </c>
    </row>
    <row r="22" spans="2:10" x14ac:dyDescent="0.35">
      <c r="B22" s="2" t="s">
        <v>9</v>
      </c>
      <c r="C22" s="15">
        <f>C16-C21</f>
        <v>2400.5000000000009</v>
      </c>
      <c r="D22" s="15">
        <f>D16-D21</f>
        <v>2934.2000000000007</v>
      </c>
      <c r="E22" s="15">
        <f>E16-E21</f>
        <v>3715.2</v>
      </c>
      <c r="F22" s="81">
        <f>F16*F199</f>
        <v>4898.0761199999997</v>
      </c>
      <c r="G22" s="81">
        <f>G16*G199</f>
        <v>6318.518194799999</v>
      </c>
      <c r="H22" s="81">
        <f>H16*H199</f>
        <v>7708.5921976559985</v>
      </c>
      <c r="I22" s="81">
        <f>I16*I199</f>
        <v>9019.0528712575178</v>
      </c>
      <c r="J22" s="55"/>
    </row>
    <row r="23" spans="2:10" x14ac:dyDescent="0.35">
      <c r="C23" s="16"/>
      <c r="D23" s="16"/>
      <c r="E23" s="16"/>
    </row>
    <row r="24" spans="2:10" x14ac:dyDescent="0.35">
      <c r="B24" s="2" t="s">
        <v>106</v>
      </c>
      <c r="C24" s="16"/>
      <c r="D24" s="16"/>
      <c r="E24" s="16"/>
    </row>
    <row r="25" spans="2:10" x14ac:dyDescent="0.35">
      <c r="B25" s="3" t="s">
        <v>10</v>
      </c>
      <c r="C25" s="18">
        <v>1312.3</v>
      </c>
      <c r="D25" s="18">
        <v>1374</v>
      </c>
      <c r="E25" s="18">
        <v>1617.8</v>
      </c>
      <c r="F25" s="79">
        <f>F16*F202</f>
        <v>2040.8650499999999</v>
      </c>
      <c r="G25" s="79">
        <f>G16*G202</f>
        <v>2544.9587173499995</v>
      </c>
      <c r="H25" s="79">
        <f>H16*H202</f>
        <v>2997.7858546439998</v>
      </c>
      <c r="I25" s="79">
        <f>I16*I202</f>
        <v>3382.1448267215696</v>
      </c>
    </row>
    <row r="26" spans="2:10" x14ac:dyDescent="0.35">
      <c r="B26" s="4" t="s">
        <v>11</v>
      </c>
      <c r="C26" s="18">
        <v>181.3</v>
      </c>
      <c r="D26" s="18">
        <v>184.2</v>
      </c>
      <c r="E26" s="18">
        <v>200.4</v>
      </c>
      <c r="F26" s="83">
        <v>277.89999999999998</v>
      </c>
      <c r="G26" s="83">
        <v>218.5</v>
      </c>
      <c r="H26" s="83">
        <v>206.1</v>
      </c>
      <c r="I26" s="83">
        <v>154.69999999999999</v>
      </c>
    </row>
    <row r="27" spans="2:10" x14ac:dyDescent="0.35">
      <c r="B27" s="3" t="s">
        <v>12</v>
      </c>
      <c r="C27" s="14">
        <v>34.700000000000003</v>
      </c>
      <c r="D27" s="14">
        <v>8.6</v>
      </c>
      <c r="E27" s="14">
        <v>67.3</v>
      </c>
      <c r="F27" s="79">
        <f>F16*F207</f>
        <v>68.028835000000001</v>
      </c>
      <c r="G27" s="79">
        <f>G16*G207</f>
        <v>87.757197149999996</v>
      </c>
      <c r="H27" s="79">
        <f>H16*H207</f>
        <v>107.06378052299999</v>
      </c>
      <c r="I27" s="79">
        <f>I16*I207</f>
        <v>125.26462321190999</v>
      </c>
    </row>
    <row r="28" spans="2:10" ht="15" thickBot="1" x14ac:dyDescent="0.4">
      <c r="B28" s="87" t="s">
        <v>13</v>
      </c>
      <c r="C28" s="88">
        <f>SUM(C25:C27)</f>
        <v>1528.3</v>
      </c>
      <c r="D28" s="88">
        <f t="shared" ref="D28:I28" si="3">SUM(D25:D27)</f>
        <v>1566.8</v>
      </c>
      <c r="E28" s="88">
        <f t="shared" si="3"/>
        <v>1885.5</v>
      </c>
      <c r="F28" s="89">
        <f t="shared" si="3"/>
        <v>2386.793885</v>
      </c>
      <c r="G28" s="89">
        <f t="shared" si="3"/>
        <v>2851.2159144999996</v>
      </c>
      <c r="H28" s="89">
        <f t="shared" si="3"/>
        <v>3310.9496351669995</v>
      </c>
      <c r="I28" s="89">
        <f t="shared" si="3"/>
        <v>3662.1094499334795</v>
      </c>
    </row>
    <row r="29" spans="2:10" x14ac:dyDescent="0.35">
      <c r="B29" s="2" t="s">
        <v>14</v>
      </c>
      <c r="C29" s="15">
        <f>C22-C28</f>
        <v>872.20000000000095</v>
      </c>
      <c r="D29" s="15">
        <f>D22-D28</f>
        <v>1367.4000000000008</v>
      </c>
      <c r="E29" s="15">
        <f>E22-E28</f>
        <v>1829.6999999999998</v>
      </c>
      <c r="F29" s="81">
        <f t="shared" ref="F29:I29" si="4">F22-F28</f>
        <v>2511.2822349999997</v>
      </c>
      <c r="G29" s="81">
        <f t="shared" si="4"/>
        <v>3467.3022802999994</v>
      </c>
      <c r="H29" s="81">
        <f t="shared" si="4"/>
        <v>4397.6425624889989</v>
      </c>
      <c r="I29" s="81">
        <f t="shared" si="4"/>
        <v>5356.9434213240384</v>
      </c>
    </row>
    <row r="30" spans="2:10" x14ac:dyDescent="0.35">
      <c r="C30" s="16"/>
      <c r="D30" s="16"/>
      <c r="E30" s="16"/>
    </row>
    <row r="31" spans="2:10" x14ac:dyDescent="0.35">
      <c r="B31" s="2" t="s">
        <v>15</v>
      </c>
      <c r="C31" s="16"/>
      <c r="D31" s="16"/>
      <c r="E31" s="16"/>
    </row>
    <row r="32" spans="2:10" x14ac:dyDescent="0.35">
      <c r="B32" s="4" t="s">
        <v>16</v>
      </c>
      <c r="C32" s="18">
        <v>180.1</v>
      </c>
      <c r="D32" s="18">
        <v>150.4</v>
      </c>
      <c r="E32" s="18">
        <v>86.1</v>
      </c>
      <c r="F32" s="84">
        <f>F246</f>
        <v>150.98811014778579</v>
      </c>
      <c r="G32" s="84">
        <f t="shared" ref="G32:I32" si="5">G246</f>
        <v>149.90091044335733</v>
      </c>
      <c r="H32" s="84">
        <f t="shared" si="5"/>
        <v>148.81371073892893</v>
      </c>
      <c r="I32" s="84">
        <f t="shared" si="5"/>
        <v>147.72651103450048</v>
      </c>
    </row>
    <row r="33" spans="2:9" x14ac:dyDescent="0.35">
      <c r="B33" s="4" t="s">
        <v>17</v>
      </c>
      <c r="C33" s="18">
        <v>0.5</v>
      </c>
      <c r="D33" s="18">
        <v>2.4</v>
      </c>
      <c r="E33" s="18">
        <v>1.7</v>
      </c>
      <c r="F33" s="83">
        <v>0</v>
      </c>
      <c r="G33" s="83">
        <v>0</v>
      </c>
      <c r="H33" s="83">
        <v>0</v>
      </c>
      <c r="I33" s="83">
        <v>0</v>
      </c>
    </row>
    <row r="34" spans="2:9" x14ac:dyDescent="0.35">
      <c r="B34" s="4" t="s">
        <v>18</v>
      </c>
      <c r="C34" s="18">
        <v>157.9</v>
      </c>
      <c r="D34" s="18">
        <v>449.2</v>
      </c>
      <c r="E34" s="18">
        <v>0</v>
      </c>
      <c r="F34" s="83">
        <v>0</v>
      </c>
      <c r="G34" s="83">
        <v>0</v>
      </c>
      <c r="H34" s="83">
        <v>0</v>
      </c>
      <c r="I34" s="83">
        <v>0</v>
      </c>
    </row>
    <row r="35" spans="2:9" ht="15" thickBot="1" x14ac:dyDescent="0.4">
      <c r="B35" s="90" t="s">
        <v>20</v>
      </c>
      <c r="C35" s="88">
        <f>SUM(C32:C34)</f>
        <v>338.5</v>
      </c>
      <c r="D35" s="88">
        <f t="shared" ref="D35:I35" si="6">SUM(D32:D34)</f>
        <v>602</v>
      </c>
      <c r="E35" s="88">
        <f t="shared" si="6"/>
        <v>87.8</v>
      </c>
      <c r="F35" s="89">
        <f t="shared" si="6"/>
        <v>150.98811014778579</v>
      </c>
      <c r="G35" s="89">
        <f t="shared" si="6"/>
        <v>149.90091044335733</v>
      </c>
      <c r="H35" s="89">
        <f t="shared" si="6"/>
        <v>148.81371073892893</v>
      </c>
      <c r="I35" s="89">
        <f t="shared" si="6"/>
        <v>147.72651103450048</v>
      </c>
    </row>
    <row r="36" spans="2:9" x14ac:dyDescent="0.35">
      <c r="B36" s="5" t="s">
        <v>19</v>
      </c>
      <c r="C36" s="15">
        <f>C29-C35</f>
        <v>533.70000000000095</v>
      </c>
      <c r="D36" s="15">
        <f>D29-D35</f>
        <v>765.40000000000077</v>
      </c>
      <c r="E36" s="15">
        <f>E29-E35</f>
        <v>1741.8999999999999</v>
      </c>
      <c r="F36" s="81">
        <f>F29-F35</f>
        <v>2360.2941248522138</v>
      </c>
      <c r="G36" s="81">
        <f t="shared" ref="G36:I36" si="7">G29-G35</f>
        <v>3317.4013698566423</v>
      </c>
      <c r="H36" s="81">
        <f t="shared" si="7"/>
        <v>4248.8288517500696</v>
      </c>
      <c r="I36" s="81">
        <f t="shared" si="7"/>
        <v>5209.2169102895377</v>
      </c>
    </row>
    <row r="37" spans="2:9" ht="15" thickBot="1" x14ac:dyDescent="0.4">
      <c r="B37" s="11" t="s">
        <v>21</v>
      </c>
      <c r="C37" s="19">
        <v>73.5</v>
      </c>
      <c r="D37" s="19">
        <v>269.60000000000002</v>
      </c>
      <c r="E37" s="19">
        <v>409.1</v>
      </c>
      <c r="F37" s="80">
        <f>F36*F213</f>
        <v>554.66911934027019</v>
      </c>
      <c r="G37" s="80">
        <f>G36*G213</f>
        <v>779.58932191631095</v>
      </c>
      <c r="H37" s="80">
        <f>H36*H213</f>
        <v>998.47478016126627</v>
      </c>
      <c r="I37" s="80">
        <f>I36*I213</f>
        <v>1224.1659739180413</v>
      </c>
    </row>
    <row r="38" spans="2:9" ht="15" thickBot="1" x14ac:dyDescent="0.4">
      <c r="B38" s="91" t="s">
        <v>22</v>
      </c>
      <c r="C38" s="92">
        <f>C36-C37</f>
        <v>460.20000000000095</v>
      </c>
      <c r="D38" s="92">
        <f t="shared" ref="D38:I38" si="8">D36-D37</f>
        <v>495.80000000000075</v>
      </c>
      <c r="E38" s="92">
        <f t="shared" si="8"/>
        <v>1332.7999999999997</v>
      </c>
      <c r="F38" s="93">
        <f t="shared" si="8"/>
        <v>1805.6250055119435</v>
      </c>
      <c r="G38" s="93">
        <f t="shared" si="8"/>
        <v>2537.8120479403315</v>
      </c>
      <c r="H38" s="93">
        <f t="shared" si="8"/>
        <v>3250.3540715888034</v>
      </c>
      <c r="I38" s="93">
        <f t="shared" si="8"/>
        <v>3985.0509363714964</v>
      </c>
    </row>
    <row r="39" spans="2:9" ht="15" thickTop="1" x14ac:dyDescent="0.35">
      <c r="C39" s="13"/>
      <c r="D39" s="13"/>
      <c r="E39" s="13"/>
    </row>
    <row r="40" spans="2:9" x14ac:dyDescent="0.35">
      <c r="C40" s="13"/>
      <c r="D40" s="13"/>
      <c r="E40" s="13"/>
    </row>
    <row r="41" spans="2:9" s="2" customFormat="1" x14ac:dyDescent="0.35">
      <c r="B41" s="6" t="s">
        <v>30</v>
      </c>
      <c r="C41" s="20"/>
      <c r="D41" s="20"/>
      <c r="E41" s="20"/>
      <c r="F41" s="75"/>
      <c r="G41" s="75"/>
      <c r="H41" s="75"/>
      <c r="I41" s="75"/>
    </row>
    <row r="42" spans="2:9" x14ac:dyDescent="0.35">
      <c r="C42" s="13"/>
      <c r="D42" s="13"/>
      <c r="E42" s="13"/>
    </row>
    <row r="43" spans="2:9" x14ac:dyDescent="0.35">
      <c r="B43" s="2" t="s">
        <v>47</v>
      </c>
      <c r="C43" s="13"/>
      <c r="D43" s="13"/>
      <c r="E43" s="13"/>
    </row>
    <row r="44" spans="2:9" x14ac:dyDescent="0.35">
      <c r="C44" s="13"/>
      <c r="D44" s="13"/>
      <c r="E44" s="13"/>
    </row>
    <row r="45" spans="2:9" x14ac:dyDescent="0.35">
      <c r="B45" s="2" t="s">
        <v>31</v>
      </c>
      <c r="C45" s="13"/>
      <c r="D45" s="13"/>
      <c r="E45" s="13"/>
    </row>
    <row r="46" spans="2:9" x14ac:dyDescent="0.35">
      <c r="B46" s="4" t="s">
        <v>32</v>
      </c>
      <c r="C46" s="18">
        <v>780.4</v>
      </c>
      <c r="D46" s="18">
        <v>1227.5999999999999</v>
      </c>
      <c r="E46" s="18">
        <v>1728.4</v>
      </c>
      <c r="F46" s="79">
        <f>F151-$E$152</f>
        <v>3426.7179193048391</v>
      </c>
      <c r="G46" s="79">
        <f t="shared" ref="G46:I46" si="9">G151-$E$152</f>
        <v>5257.7162784587026</v>
      </c>
      <c r="H46" s="79">
        <f t="shared" si="9"/>
        <v>7748.2454653946725</v>
      </c>
      <c r="I46" s="79">
        <f t="shared" si="9"/>
        <v>11116.977622682594</v>
      </c>
    </row>
    <row r="47" spans="2:9" x14ac:dyDescent="0.35">
      <c r="B47" s="4" t="s">
        <v>33</v>
      </c>
      <c r="C47" s="18"/>
      <c r="D47" s="18">
        <v>0</v>
      </c>
      <c r="E47" s="18">
        <v>99.5</v>
      </c>
      <c r="F47" s="79">
        <f>E47</f>
        <v>99.5</v>
      </c>
      <c r="G47" s="79">
        <f t="shared" ref="G47:I47" si="10">F47</f>
        <v>99.5</v>
      </c>
      <c r="H47" s="79">
        <f t="shared" si="10"/>
        <v>99.5</v>
      </c>
      <c r="I47" s="79">
        <f t="shared" si="10"/>
        <v>99.5</v>
      </c>
    </row>
    <row r="48" spans="2:9" x14ac:dyDescent="0.35">
      <c r="B48" s="70" t="s">
        <v>231</v>
      </c>
      <c r="C48" s="18">
        <v>2118.1</v>
      </c>
      <c r="D48" s="18">
        <v>2362.6999999999998</v>
      </c>
      <c r="E48" s="18">
        <v>3109</v>
      </c>
      <c r="F48" s="79">
        <f>F256</f>
        <v>4100.3681369863007</v>
      </c>
      <c r="G48" s="79">
        <f t="shared" ref="G48:I48" si="11">G256</f>
        <v>5289.4748967123278</v>
      </c>
      <c r="H48" s="79">
        <f t="shared" si="11"/>
        <v>6453.1593739890404</v>
      </c>
      <c r="I48" s="79">
        <f t="shared" si="11"/>
        <v>7550.1964675671761</v>
      </c>
    </row>
    <row r="49" spans="2:9" x14ac:dyDescent="0.35">
      <c r="B49" s="70" t="s">
        <v>34</v>
      </c>
      <c r="C49" s="18">
        <v>884.3</v>
      </c>
      <c r="D49" s="18">
        <v>1244.4000000000001</v>
      </c>
      <c r="E49" s="18">
        <v>1456.5</v>
      </c>
      <c r="F49" s="79">
        <f t="shared" ref="F49:I49" si="12">F257</f>
        <v>2385.6687342465752</v>
      </c>
      <c r="G49" s="79">
        <f>G257</f>
        <v>2769.7614004602738</v>
      </c>
      <c r="H49" s="79">
        <f t="shared" si="12"/>
        <v>3191.3806358636707</v>
      </c>
      <c r="I49" s="79">
        <f t="shared" si="12"/>
        <v>3514.2732649039954</v>
      </c>
    </row>
    <row r="50" spans="2:9" ht="15" thickBot="1" x14ac:dyDescent="0.4">
      <c r="B50" s="131" t="s">
        <v>35</v>
      </c>
      <c r="C50" s="19">
        <v>218.7</v>
      </c>
      <c r="D50" s="19">
        <v>267.10000000000002</v>
      </c>
      <c r="E50" s="19">
        <v>426.1</v>
      </c>
      <c r="F50" s="80">
        <f t="shared" ref="F50:I50" si="13">F258</f>
        <v>530.62491299999999</v>
      </c>
      <c r="G50" s="80">
        <f t="shared" si="13"/>
        <v>684.5061377699999</v>
      </c>
      <c r="H50" s="80">
        <f t="shared" si="13"/>
        <v>835.09748807939991</v>
      </c>
      <c r="I50" s="80">
        <f t="shared" si="13"/>
        <v>977.06406105289784</v>
      </c>
    </row>
    <row r="51" spans="2:9" x14ac:dyDescent="0.35">
      <c r="B51" s="2" t="s">
        <v>36</v>
      </c>
      <c r="C51" s="15">
        <f>SUM(C46:C50)</f>
        <v>4001.5</v>
      </c>
      <c r="D51" s="15">
        <f t="shared" ref="D51:I51" si="14">SUM(D46:D50)</f>
        <v>5101.8</v>
      </c>
      <c r="E51" s="15">
        <f t="shared" si="14"/>
        <v>6819.5</v>
      </c>
      <c r="F51" s="81">
        <f t="shared" si="14"/>
        <v>10542.879703537716</v>
      </c>
      <c r="G51" s="81">
        <f t="shared" si="14"/>
        <v>14100.958713401305</v>
      </c>
      <c r="H51" s="81">
        <f t="shared" si="14"/>
        <v>18327.382963326781</v>
      </c>
      <c r="I51" s="81">
        <f t="shared" si="14"/>
        <v>23258.011416206664</v>
      </c>
    </row>
    <row r="52" spans="2:9" x14ac:dyDescent="0.35">
      <c r="C52" s="13"/>
      <c r="D52" s="13"/>
      <c r="E52" s="13"/>
    </row>
    <row r="53" spans="2:9" x14ac:dyDescent="0.35">
      <c r="B53" s="2" t="s">
        <v>37</v>
      </c>
      <c r="C53" s="13"/>
      <c r="D53" s="13"/>
      <c r="E53" s="13"/>
    </row>
    <row r="54" spans="2:9" x14ac:dyDescent="0.35">
      <c r="B54" s="4" t="s">
        <v>38</v>
      </c>
      <c r="C54" s="61">
        <v>560.1</v>
      </c>
      <c r="D54" s="61">
        <v>625.1</v>
      </c>
      <c r="E54" s="61">
        <v>921.8</v>
      </c>
      <c r="F54" s="79">
        <f>F222</f>
        <v>1259.731845</v>
      </c>
      <c r="G54" s="79">
        <f t="shared" ref="G54:I54" si="15">G222</f>
        <v>1597.31525115</v>
      </c>
      <c r="H54" s="79">
        <f t="shared" si="15"/>
        <v>1893.0368660925001</v>
      </c>
      <c r="I54" s="79">
        <f t="shared" si="15"/>
        <v>2110.139829026265</v>
      </c>
    </row>
    <row r="55" spans="2:9" x14ac:dyDescent="0.35">
      <c r="C55" s="13"/>
      <c r="D55" s="13"/>
      <c r="E55" s="13"/>
    </row>
    <row r="56" spans="2:9" x14ac:dyDescent="0.35">
      <c r="B56" s="2" t="s">
        <v>39</v>
      </c>
      <c r="C56" s="13"/>
      <c r="D56" s="13"/>
      <c r="E56" s="13"/>
    </row>
    <row r="57" spans="2:9" x14ac:dyDescent="0.35">
      <c r="B57" s="4" t="s">
        <v>40</v>
      </c>
      <c r="C57" s="62">
        <v>1330.3</v>
      </c>
      <c r="D57" s="62">
        <v>1321.1</v>
      </c>
      <c r="E57" s="62">
        <v>2033.7</v>
      </c>
      <c r="F57" s="79">
        <f>F238</f>
        <v>2283.3000000000002</v>
      </c>
      <c r="G57" s="79">
        <f t="shared" ref="G57:I57" si="16">G238</f>
        <v>2283.3000000000002</v>
      </c>
      <c r="H57" s="79">
        <f t="shared" si="16"/>
        <v>2283.3000000000002</v>
      </c>
      <c r="I57" s="79">
        <f t="shared" si="16"/>
        <v>2283.3000000000002</v>
      </c>
    </row>
    <row r="58" spans="2:9" x14ac:dyDescent="0.35">
      <c r="B58" s="4" t="s">
        <v>41</v>
      </c>
      <c r="C58" s="62">
        <v>1672.9</v>
      </c>
      <c r="D58" s="62">
        <v>1487.1</v>
      </c>
      <c r="E58" s="62">
        <v>1894.8</v>
      </c>
      <c r="F58" s="79">
        <f>F236</f>
        <v>1674.2</v>
      </c>
      <c r="G58" s="79">
        <f t="shared" ref="G58:I58" si="17">G236</f>
        <v>1455.7</v>
      </c>
      <c r="H58" s="79">
        <f t="shared" si="17"/>
        <v>1249.6000000000001</v>
      </c>
      <c r="I58" s="79">
        <f t="shared" si="17"/>
        <v>1094.9000000000001</v>
      </c>
    </row>
    <row r="59" spans="2:9" x14ac:dyDescent="0.35">
      <c r="B59" s="4" t="s">
        <v>42</v>
      </c>
      <c r="C59" s="62">
        <v>159.80000000000001</v>
      </c>
      <c r="D59" s="62">
        <v>303.3</v>
      </c>
      <c r="E59" s="62">
        <v>179.6</v>
      </c>
      <c r="F59" s="79">
        <f>E59</f>
        <v>179.6</v>
      </c>
      <c r="G59" s="79">
        <f t="shared" ref="G59:I59" si="18">F59</f>
        <v>179.6</v>
      </c>
      <c r="H59" s="79">
        <f t="shared" si="18"/>
        <v>179.6</v>
      </c>
      <c r="I59" s="79">
        <f t="shared" si="18"/>
        <v>179.6</v>
      </c>
    </row>
    <row r="60" spans="2:9" x14ac:dyDescent="0.35">
      <c r="B60" s="4" t="s">
        <v>43</v>
      </c>
      <c r="C60" s="62">
        <v>173.5</v>
      </c>
      <c r="D60" s="62">
        <v>202.1</v>
      </c>
      <c r="E60" s="62">
        <v>303</v>
      </c>
      <c r="F60" s="79">
        <f>E60+(F81-E81)</f>
        <v>384.33840800000002</v>
      </c>
      <c r="G60" s="79">
        <f t="shared" ref="G60:I60" si="19">F60+(G81-F81)</f>
        <v>479.03454632</v>
      </c>
      <c r="H60" s="79">
        <f t="shared" si="19"/>
        <v>571.7061465104</v>
      </c>
      <c r="I60" s="79">
        <f t="shared" si="19"/>
        <v>659.07019141716796</v>
      </c>
    </row>
    <row r="61" spans="2:9" ht="15" thickBot="1" x14ac:dyDescent="0.4">
      <c r="B61" s="11" t="s">
        <v>44</v>
      </c>
      <c r="C61" s="63">
        <v>100.4</v>
      </c>
      <c r="D61" s="63">
        <v>92</v>
      </c>
      <c r="E61" s="63">
        <v>60</v>
      </c>
      <c r="F61" s="80">
        <f>F16*F187</f>
        <v>136.05767</v>
      </c>
      <c r="G61" s="80">
        <f>G16*G187</f>
        <v>175.51439429999999</v>
      </c>
      <c r="H61" s="80">
        <f>H16*H187</f>
        <v>214.12756104599998</v>
      </c>
      <c r="I61" s="80">
        <f>I16*I187</f>
        <v>250.52924642381998</v>
      </c>
    </row>
    <row r="62" spans="2:9" x14ac:dyDescent="0.35">
      <c r="B62" s="2" t="s">
        <v>45</v>
      </c>
      <c r="C62" s="21">
        <f>SUM(C57:C61)</f>
        <v>3436.9</v>
      </c>
      <c r="D62" s="21">
        <f t="shared" ref="D62:I62" si="20">SUM(D57:D61)</f>
        <v>3405.6</v>
      </c>
      <c r="E62" s="21">
        <f t="shared" si="20"/>
        <v>4471.1000000000004</v>
      </c>
      <c r="F62" s="81">
        <f t="shared" si="20"/>
        <v>4657.4960780000001</v>
      </c>
      <c r="G62" s="81">
        <f t="shared" si="20"/>
        <v>4573.1489406199998</v>
      </c>
      <c r="H62" s="81">
        <f t="shared" si="20"/>
        <v>4498.3337075564004</v>
      </c>
      <c r="I62" s="81">
        <f t="shared" si="20"/>
        <v>4467.399437840988</v>
      </c>
    </row>
    <row r="63" spans="2:9" x14ac:dyDescent="0.35">
      <c r="C63" s="13"/>
      <c r="D63" s="13"/>
      <c r="E63" s="13"/>
    </row>
    <row r="64" spans="2:9" ht="15" thickBot="1" x14ac:dyDescent="0.4">
      <c r="B64" s="94" t="s">
        <v>46</v>
      </c>
      <c r="C64" s="95">
        <f>SUM(C62,C51,C54)</f>
        <v>7998.5</v>
      </c>
      <c r="D64" s="95">
        <f t="shared" ref="D64:I64" si="21">SUM(D62,D51,D54)</f>
        <v>9132.5</v>
      </c>
      <c r="E64" s="95">
        <f t="shared" si="21"/>
        <v>12212.4</v>
      </c>
      <c r="F64" s="96">
        <f t="shared" si="21"/>
        <v>16460.107626537716</v>
      </c>
      <c r="G64" s="96">
        <f t="shared" si="21"/>
        <v>20271.422905171305</v>
      </c>
      <c r="H64" s="96">
        <f t="shared" si="21"/>
        <v>24718.753536975684</v>
      </c>
      <c r="I64" s="96">
        <f t="shared" si="21"/>
        <v>29835.550683073918</v>
      </c>
    </row>
    <row r="65" spans="2:9" ht="15" thickTop="1" x14ac:dyDescent="0.35">
      <c r="C65" s="13"/>
      <c r="D65" s="13"/>
      <c r="E65" s="13"/>
    </row>
    <row r="66" spans="2:9" x14ac:dyDescent="0.35">
      <c r="B66" s="5" t="s">
        <v>48</v>
      </c>
      <c r="C66" s="13"/>
      <c r="D66" s="13"/>
      <c r="E66" s="13"/>
    </row>
    <row r="67" spans="2:9" x14ac:dyDescent="0.35">
      <c r="B67" s="5"/>
      <c r="C67" s="13"/>
      <c r="D67" s="13"/>
      <c r="E67" s="13"/>
    </row>
    <row r="68" spans="2:9" x14ac:dyDescent="0.35">
      <c r="B68" s="5" t="s">
        <v>64</v>
      </c>
      <c r="C68" s="13"/>
      <c r="D68" s="13"/>
      <c r="E68" s="13"/>
    </row>
    <row r="69" spans="2:9" x14ac:dyDescent="0.35">
      <c r="B69" s="2" t="s">
        <v>49</v>
      </c>
      <c r="C69" s="13"/>
      <c r="D69" s="13"/>
      <c r="E69" s="13"/>
    </row>
    <row r="70" spans="2:9" x14ac:dyDescent="0.35">
      <c r="B70" s="4" t="s">
        <v>50</v>
      </c>
      <c r="C70" s="18">
        <v>21.8</v>
      </c>
      <c r="D70" s="18">
        <v>21</v>
      </c>
      <c r="E70" s="18">
        <v>20.9</v>
      </c>
      <c r="F70" s="79">
        <f>-F243</f>
        <v>20.9</v>
      </c>
      <c r="G70" s="79">
        <f t="shared" ref="G70:I70" si="22">-G243</f>
        <v>20.9</v>
      </c>
      <c r="H70" s="79">
        <f t="shared" si="22"/>
        <v>20.9</v>
      </c>
      <c r="I70" s="79">
        <f t="shared" si="22"/>
        <v>20.9</v>
      </c>
    </row>
    <row r="71" spans="2:9" x14ac:dyDescent="0.35">
      <c r="B71" s="4" t="s">
        <v>51</v>
      </c>
      <c r="C71" s="18">
        <v>986.4</v>
      </c>
      <c r="D71" s="18">
        <v>1316.4</v>
      </c>
      <c r="E71" s="18">
        <v>1756.4</v>
      </c>
      <c r="F71" s="79">
        <f>F261</f>
        <v>2528.80885830137</v>
      </c>
      <c r="G71" s="79">
        <f t="shared" ref="G71:I71" si="23">G261</f>
        <v>3139.0629205216437</v>
      </c>
      <c r="H71" s="79">
        <f t="shared" si="23"/>
        <v>3754.5654539572597</v>
      </c>
      <c r="I71" s="79">
        <f t="shared" si="23"/>
        <v>4304.9847495073946</v>
      </c>
    </row>
    <row r="72" spans="2:9" x14ac:dyDescent="0.35">
      <c r="B72" s="4" t="s">
        <v>52</v>
      </c>
      <c r="C72" s="18">
        <v>638.9</v>
      </c>
      <c r="D72" s="18">
        <v>1063.3</v>
      </c>
      <c r="E72" s="18">
        <v>1814.7</v>
      </c>
      <c r="F72" s="79">
        <f t="shared" ref="F72:I72" si="24">F262</f>
        <v>3265.3840799999998</v>
      </c>
      <c r="G72" s="79">
        <f t="shared" si="24"/>
        <v>3685.8022802999994</v>
      </c>
      <c r="H72" s="79">
        <f t="shared" si="24"/>
        <v>4068.4236598739994</v>
      </c>
      <c r="I72" s="79">
        <f t="shared" si="24"/>
        <v>4509.5264356287589</v>
      </c>
    </row>
    <row r="73" spans="2:9" x14ac:dyDescent="0.35">
      <c r="B73" s="4" t="s">
        <v>53</v>
      </c>
      <c r="C73" s="18">
        <v>611.79999999999995</v>
      </c>
      <c r="D73" s="18">
        <v>612.6</v>
      </c>
      <c r="E73" s="18">
        <v>771.6</v>
      </c>
      <c r="F73" s="79">
        <f t="shared" ref="F73:I74" si="25">F263</f>
        <v>1020.4325249999999</v>
      </c>
      <c r="G73" s="79">
        <f t="shared" si="25"/>
        <v>1316.3579572499998</v>
      </c>
      <c r="H73" s="79">
        <f t="shared" si="25"/>
        <v>1605.9567078449998</v>
      </c>
      <c r="I73" s="79">
        <f t="shared" si="25"/>
        <v>1878.9693481786496</v>
      </c>
    </row>
    <row r="74" spans="2:9" ht="15" thickBot="1" x14ac:dyDescent="0.4">
      <c r="B74" s="11" t="s">
        <v>54</v>
      </c>
      <c r="C74" s="19">
        <v>46.5</v>
      </c>
      <c r="D74" s="19">
        <v>83.7</v>
      </c>
      <c r="E74" s="19">
        <v>43.4</v>
      </c>
      <c r="F74" s="80">
        <f t="shared" si="25"/>
        <v>43.4</v>
      </c>
      <c r="G74" s="80">
        <f t="shared" si="25"/>
        <v>43.4</v>
      </c>
      <c r="H74" s="80">
        <f t="shared" si="25"/>
        <v>43.4</v>
      </c>
      <c r="I74" s="80">
        <f t="shared" si="25"/>
        <v>43.4</v>
      </c>
    </row>
    <row r="75" spans="2:9" x14ac:dyDescent="0.35">
      <c r="B75" s="2" t="s">
        <v>55</v>
      </c>
      <c r="C75" s="21">
        <f>SUM(C70:C74)</f>
        <v>2305.3999999999996</v>
      </c>
      <c r="D75" s="21">
        <f t="shared" ref="D75:I75" si="26">SUM(D70:D74)</f>
        <v>3096.9999999999995</v>
      </c>
      <c r="E75" s="21">
        <f t="shared" si="26"/>
        <v>4407</v>
      </c>
      <c r="F75" s="81">
        <f t="shared" si="26"/>
        <v>6878.9254633013697</v>
      </c>
      <c r="G75" s="81">
        <f t="shared" si="26"/>
        <v>8205.5231580716427</v>
      </c>
      <c r="H75" s="81">
        <f t="shared" si="26"/>
        <v>9493.2458216762589</v>
      </c>
      <c r="I75" s="81">
        <f t="shared" si="26"/>
        <v>10757.780533314801</v>
      </c>
    </row>
    <row r="76" spans="2:9" x14ac:dyDescent="0.35">
      <c r="C76" s="13"/>
      <c r="D76" s="13"/>
      <c r="E76" s="13"/>
    </row>
    <row r="77" spans="2:9" x14ac:dyDescent="0.35">
      <c r="B77" s="2" t="s">
        <v>56</v>
      </c>
      <c r="C77" s="13"/>
      <c r="D77" s="13"/>
      <c r="E77" s="13"/>
    </row>
    <row r="78" spans="2:9" x14ac:dyDescent="0.35">
      <c r="B78" s="4" t="s">
        <v>57</v>
      </c>
      <c r="C78" s="18">
        <v>2919.1</v>
      </c>
      <c r="D78" s="18">
        <v>2907.2</v>
      </c>
      <c r="E78" s="18">
        <v>2892.1</v>
      </c>
      <c r="F78" s="79">
        <f>F244+F243</f>
        <v>2871.2</v>
      </c>
      <c r="G78" s="79">
        <f t="shared" ref="G78:I78" si="27">G244+G243</f>
        <v>2850.2999999999997</v>
      </c>
      <c r="H78" s="79">
        <f t="shared" si="27"/>
        <v>2829.3999999999996</v>
      </c>
      <c r="I78" s="79">
        <f t="shared" si="27"/>
        <v>2808.4999999999995</v>
      </c>
    </row>
    <row r="79" spans="2:9" x14ac:dyDescent="0.35">
      <c r="B79" s="4" t="s">
        <v>42</v>
      </c>
      <c r="C79" s="18">
        <v>159.5</v>
      </c>
      <c r="D79" s="18">
        <v>240.3</v>
      </c>
      <c r="E79" s="18">
        <v>232.8</v>
      </c>
      <c r="F79" s="79">
        <f>E79</f>
        <v>232.8</v>
      </c>
      <c r="G79" s="79">
        <f t="shared" ref="G79:I79" si="28">F79</f>
        <v>232.8</v>
      </c>
      <c r="H79" s="79">
        <f t="shared" si="28"/>
        <v>232.8</v>
      </c>
      <c r="I79" s="79">
        <f t="shared" si="28"/>
        <v>232.8</v>
      </c>
    </row>
    <row r="80" spans="2:9" x14ac:dyDescent="0.35">
      <c r="B80" s="4" t="s">
        <v>58</v>
      </c>
      <c r="C80" s="18">
        <v>195</v>
      </c>
      <c r="D80" s="18">
        <v>0</v>
      </c>
      <c r="E80" s="18">
        <v>0</v>
      </c>
      <c r="F80" s="79">
        <f>E80</f>
        <v>0</v>
      </c>
      <c r="G80" s="79">
        <f t="shared" ref="G80:I80" si="29">F80</f>
        <v>0</v>
      </c>
      <c r="H80" s="79">
        <f t="shared" si="29"/>
        <v>0</v>
      </c>
      <c r="I80" s="79">
        <f t="shared" si="29"/>
        <v>0</v>
      </c>
    </row>
    <row r="81" spans="2:9" x14ac:dyDescent="0.35">
      <c r="B81" s="4" t="s">
        <v>59</v>
      </c>
      <c r="C81" s="18">
        <v>142.6</v>
      </c>
      <c r="D81" s="18">
        <v>171.4</v>
      </c>
      <c r="E81" s="18">
        <v>245.2</v>
      </c>
      <c r="F81" s="79">
        <f>F16*F190</f>
        <v>326.538408</v>
      </c>
      <c r="G81" s="79">
        <f>G16*G190</f>
        <v>421.23454631999999</v>
      </c>
      <c r="H81" s="79">
        <f>H16*H190</f>
        <v>513.90614651039994</v>
      </c>
      <c r="I81" s="79">
        <f>I16*I190</f>
        <v>601.27019141716789</v>
      </c>
    </row>
    <row r="82" spans="2:9" x14ac:dyDescent="0.35">
      <c r="B82" s="4" t="s">
        <v>60</v>
      </c>
      <c r="C82" s="18">
        <v>262</v>
      </c>
      <c r="D82" s="18">
        <v>282.3</v>
      </c>
      <c r="E82" s="18">
        <v>494</v>
      </c>
      <c r="F82" s="79">
        <f>E82</f>
        <v>494</v>
      </c>
      <c r="G82" s="79">
        <f t="shared" ref="G82:I82" si="30">F82</f>
        <v>494</v>
      </c>
      <c r="H82" s="79">
        <f t="shared" si="30"/>
        <v>494</v>
      </c>
      <c r="I82" s="79">
        <f t="shared" si="30"/>
        <v>494</v>
      </c>
    </row>
    <row r="83" spans="2:9" ht="15" thickBot="1" x14ac:dyDescent="0.4">
      <c r="B83" s="9" t="s">
        <v>61</v>
      </c>
      <c r="C83" s="22">
        <f>SUM(C78:C82)</f>
        <v>3678.2</v>
      </c>
      <c r="D83" s="22">
        <f t="shared" ref="D83:I83" si="31">SUM(D78:D82)</f>
        <v>3601.2000000000003</v>
      </c>
      <c r="E83" s="22">
        <f t="shared" si="31"/>
        <v>3864.1</v>
      </c>
      <c r="F83" s="82">
        <f t="shared" si="31"/>
        <v>3924.5384079999999</v>
      </c>
      <c r="G83" s="82">
        <f t="shared" si="31"/>
        <v>3998.3345463199998</v>
      </c>
      <c r="H83" s="82">
        <f t="shared" si="31"/>
        <v>4070.1061465103999</v>
      </c>
      <c r="I83" s="82">
        <f t="shared" si="31"/>
        <v>4136.5701914171677</v>
      </c>
    </row>
    <row r="84" spans="2:9" x14ac:dyDescent="0.35">
      <c r="B84" s="2" t="s">
        <v>62</v>
      </c>
      <c r="C84" s="21">
        <f>SUM(C83,C75)</f>
        <v>5983.5999999999995</v>
      </c>
      <c r="D84" s="21">
        <f t="shared" ref="D84:I84" si="32">SUM(D83,D75)</f>
        <v>6698.2</v>
      </c>
      <c r="E84" s="21">
        <f t="shared" si="32"/>
        <v>8271.1</v>
      </c>
      <c r="F84" s="81">
        <f t="shared" si="32"/>
        <v>10803.46387130137</v>
      </c>
      <c r="G84" s="81">
        <f t="shared" si="32"/>
        <v>12203.857704391643</v>
      </c>
      <c r="H84" s="81">
        <f t="shared" si="32"/>
        <v>13563.351968186658</v>
      </c>
      <c r="I84" s="81">
        <f t="shared" si="32"/>
        <v>14894.350724731969</v>
      </c>
    </row>
    <row r="85" spans="2:9" x14ac:dyDescent="0.35">
      <c r="C85" s="13"/>
      <c r="D85" s="13"/>
      <c r="E85" s="13"/>
    </row>
    <row r="86" spans="2:9" x14ac:dyDescent="0.35">
      <c r="B86" s="2" t="s">
        <v>63</v>
      </c>
      <c r="C86" s="13"/>
      <c r="D86" s="13"/>
      <c r="E86" s="13"/>
    </row>
    <row r="87" spans="2:9" x14ac:dyDescent="0.35">
      <c r="B87" s="4" t="s">
        <v>65</v>
      </c>
      <c r="C87" s="18">
        <v>2711.3</v>
      </c>
      <c r="D87" s="18">
        <v>2821.4</v>
      </c>
      <c r="E87" s="18">
        <v>2895.2</v>
      </c>
      <c r="F87" s="83">
        <f>E87</f>
        <v>2895.2</v>
      </c>
      <c r="G87" s="83">
        <f t="shared" ref="G87:I87" si="33">F87</f>
        <v>2895.2</v>
      </c>
      <c r="H87" s="83">
        <f t="shared" si="33"/>
        <v>2895.2</v>
      </c>
      <c r="I87" s="83">
        <f t="shared" si="33"/>
        <v>2895.2</v>
      </c>
    </row>
    <row r="88" spans="2:9" x14ac:dyDescent="0.35">
      <c r="B88" s="4" t="s">
        <v>66</v>
      </c>
      <c r="C88" s="18">
        <v>-691.9</v>
      </c>
      <c r="D88" s="18">
        <v>-238.3</v>
      </c>
      <c r="E88" s="18">
        <v>1027.9000000000001</v>
      </c>
      <c r="F88" s="79">
        <f>E88+F38+F128</f>
        <v>2743.2437552363463</v>
      </c>
      <c r="G88" s="79">
        <f>F88+G38+G128</f>
        <v>5154.1652007796611</v>
      </c>
      <c r="H88" s="79">
        <f>G88+H38+H128</f>
        <v>8242.0015687890245</v>
      </c>
      <c r="I88" s="79">
        <f>H88+I38+I128</f>
        <v>12027.799958341948</v>
      </c>
    </row>
    <row r="89" spans="2:9" ht="15" thickBot="1" x14ac:dyDescent="0.4">
      <c r="B89" s="11" t="s">
        <v>67</v>
      </c>
      <c r="C89" s="19">
        <v>-4.5</v>
      </c>
      <c r="D89" s="19">
        <v>-148.80000000000001</v>
      </c>
      <c r="E89" s="19">
        <v>18.2</v>
      </c>
      <c r="F89" s="80">
        <f>E89</f>
        <v>18.2</v>
      </c>
      <c r="G89" s="80">
        <f t="shared" ref="G89:I89" si="34">F89</f>
        <v>18.2</v>
      </c>
      <c r="H89" s="80">
        <f t="shared" si="34"/>
        <v>18.2</v>
      </c>
      <c r="I89" s="80">
        <f t="shared" si="34"/>
        <v>18.2</v>
      </c>
    </row>
    <row r="90" spans="2:9" x14ac:dyDescent="0.35">
      <c r="B90" s="2" t="s">
        <v>68</v>
      </c>
      <c r="C90" s="21">
        <f>SUM(C87:C89)</f>
        <v>2014.9</v>
      </c>
      <c r="D90" s="21">
        <f t="shared" ref="D90:I90" si="35">SUM(D87:D89)</f>
        <v>2434.2999999999997</v>
      </c>
      <c r="E90" s="21">
        <f t="shared" si="35"/>
        <v>3941.2999999999997</v>
      </c>
      <c r="F90" s="81">
        <f t="shared" si="35"/>
        <v>5656.6437552363459</v>
      </c>
      <c r="G90" s="81">
        <f t="shared" si="35"/>
        <v>8067.5652007796607</v>
      </c>
      <c r="H90" s="81">
        <f t="shared" si="35"/>
        <v>11155.401568789024</v>
      </c>
      <c r="I90" s="81">
        <f t="shared" si="35"/>
        <v>14941.199958341949</v>
      </c>
    </row>
    <row r="91" spans="2:9" x14ac:dyDescent="0.35">
      <c r="C91" s="13"/>
      <c r="D91" s="13"/>
      <c r="E91" s="13"/>
    </row>
    <row r="92" spans="2:9" ht="15" thickBot="1" x14ac:dyDescent="0.4">
      <c r="B92" s="94" t="s">
        <v>69</v>
      </c>
      <c r="C92" s="95">
        <f>C90+C84</f>
        <v>7998.5</v>
      </c>
      <c r="D92" s="95">
        <f t="shared" ref="D92:I92" si="36">D90+D84</f>
        <v>9132.5</v>
      </c>
      <c r="E92" s="95">
        <f t="shared" si="36"/>
        <v>12212.4</v>
      </c>
      <c r="F92" s="96">
        <f t="shared" si="36"/>
        <v>16460.107626537716</v>
      </c>
      <c r="G92" s="96">
        <f t="shared" si="36"/>
        <v>20271.422905171305</v>
      </c>
      <c r="H92" s="96">
        <f t="shared" si="36"/>
        <v>24718.753536975681</v>
      </c>
      <c r="I92" s="96">
        <f t="shared" si="36"/>
        <v>29835.550683073918</v>
      </c>
    </row>
    <row r="93" spans="2:9" ht="15" thickTop="1" x14ac:dyDescent="0.35">
      <c r="B93" s="2"/>
      <c r="C93" s="21"/>
      <c r="D93" s="21"/>
      <c r="E93" s="21"/>
    </row>
    <row r="94" spans="2:9" x14ac:dyDescent="0.35">
      <c r="B94" s="2" t="s">
        <v>107</v>
      </c>
      <c r="C94" s="21">
        <f>C64-C92</f>
        <v>0</v>
      </c>
      <c r="D94" s="21">
        <f t="shared" ref="D94:I94" si="37">D64-D92</f>
        <v>0</v>
      </c>
      <c r="E94" s="21">
        <f t="shared" si="37"/>
        <v>0</v>
      </c>
      <c r="F94" s="81">
        <f t="shared" si="37"/>
        <v>0</v>
      </c>
      <c r="G94" s="81">
        <f t="shared" si="37"/>
        <v>0</v>
      </c>
      <c r="H94" s="81">
        <f t="shared" si="37"/>
        <v>0</v>
      </c>
      <c r="I94" s="81">
        <f t="shared" si="37"/>
        <v>0</v>
      </c>
    </row>
    <row r="95" spans="2:9" x14ac:dyDescent="0.35">
      <c r="C95" s="13"/>
      <c r="D95" s="13"/>
      <c r="E95" s="13"/>
    </row>
    <row r="96" spans="2:9" x14ac:dyDescent="0.35">
      <c r="C96" s="13"/>
      <c r="D96" s="13"/>
      <c r="E96" s="13"/>
    </row>
    <row r="97" spans="2:9" x14ac:dyDescent="0.35">
      <c r="B97" s="6" t="s">
        <v>70</v>
      </c>
      <c r="C97" s="23"/>
      <c r="D97" s="23"/>
      <c r="E97" s="23"/>
      <c r="F97" s="73"/>
      <c r="G97" s="73"/>
      <c r="H97" s="73"/>
      <c r="I97" s="73"/>
    </row>
    <row r="98" spans="2:9" x14ac:dyDescent="0.35">
      <c r="C98" s="13"/>
      <c r="D98" s="13"/>
      <c r="E98" s="13"/>
    </row>
    <row r="99" spans="2:9" x14ac:dyDescent="0.35">
      <c r="C99" s="13"/>
      <c r="D99" s="13"/>
      <c r="E99" s="13"/>
    </row>
    <row r="100" spans="2:9" x14ac:dyDescent="0.35">
      <c r="B100" s="5" t="s">
        <v>71</v>
      </c>
      <c r="C100" s="13"/>
      <c r="D100" s="13"/>
      <c r="E100" s="13"/>
    </row>
    <row r="101" spans="2:9" ht="15" thickBot="1" x14ac:dyDescent="0.4">
      <c r="B101" s="5" t="s">
        <v>72</v>
      </c>
      <c r="C101" s="99">
        <f>C38</f>
        <v>460.20000000000095</v>
      </c>
      <c r="D101" s="99">
        <f t="shared" ref="D101:E101" si="38">D38</f>
        <v>495.80000000000075</v>
      </c>
      <c r="E101" s="99">
        <f t="shared" si="38"/>
        <v>1332.7999999999997</v>
      </c>
      <c r="F101" s="100">
        <f>F38</f>
        <v>1805.6250055119435</v>
      </c>
      <c r="G101" s="100">
        <f t="shared" ref="G101:I101" si="39">G38</f>
        <v>2537.8120479403315</v>
      </c>
      <c r="H101" s="100">
        <f t="shared" si="39"/>
        <v>3250.3540715888034</v>
      </c>
      <c r="I101" s="100">
        <f t="shared" si="39"/>
        <v>3985.0509363714964</v>
      </c>
    </row>
    <row r="102" spans="2:9" ht="15" thickTop="1" x14ac:dyDescent="0.35">
      <c r="B102" s="2" t="s">
        <v>73</v>
      </c>
      <c r="C102" s="14"/>
      <c r="D102" s="14"/>
      <c r="E102" s="14"/>
    </row>
    <row r="103" spans="2:9" x14ac:dyDescent="0.35">
      <c r="B103" s="4" t="s">
        <v>74</v>
      </c>
      <c r="C103" s="18">
        <v>74.3</v>
      </c>
      <c r="D103" s="18">
        <v>81.599999999999994</v>
      </c>
      <c r="E103" s="18">
        <v>97.1</v>
      </c>
      <c r="F103" s="79">
        <f>-F221</f>
        <v>138.26999999999998</v>
      </c>
      <c r="G103" s="79">
        <f t="shared" ref="G103:I103" si="40">-G221</f>
        <v>188.95977675</v>
      </c>
      <c r="H103" s="79">
        <f t="shared" si="40"/>
        <v>239.59728767249999</v>
      </c>
      <c r="I103" s="79">
        <f t="shared" si="40"/>
        <v>283.95552991387501</v>
      </c>
    </row>
    <row r="104" spans="2:9" x14ac:dyDescent="0.35">
      <c r="B104" s="4" t="s">
        <v>75</v>
      </c>
      <c r="C104" s="18">
        <v>196.7</v>
      </c>
      <c r="D104" s="18">
        <v>195.4</v>
      </c>
      <c r="E104" s="18">
        <v>211.5</v>
      </c>
      <c r="F104" s="79">
        <f>-F234</f>
        <v>277.89999999999998</v>
      </c>
      <c r="G104" s="79">
        <f t="shared" ref="G104:I104" si="41">-G234</f>
        <v>218.5</v>
      </c>
      <c r="H104" s="79">
        <f t="shared" si="41"/>
        <v>206.1</v>
      </c>
      <c r="I104" s="79">
        <f t="shared" si="41"/>
        <v>154.69999999999999</v>
      </c>
    </row>
    <row r="105" spans="2:9" x14ac:dyDescent="0.35">
      <c r="B105" s="4" t="s">
        <v>42</v>
      </c>
      <c r="C105" s="18">
        <v>-131.6</v>
      </c>
      <c r="D105" s="18">
        <v>-54.5</v>
      </c>
      <c r="E105" s="18">
        <v>22.6</v>
      </c>
      <c r="F105" s="85">
        <v>0</v>
      </c>
      <c r="G105" s="85">
        <v>0</v>
      </c>
      <c r="H105" s="85">
        <v>0</v>
      </c>
      <c r="I105" s="85">
        <v>0</v>
      </c>
    </row>
    <row r="106" spans="2:9" x14ac:dyDescent="0.35">
      <c r="B106" s="4" t="s">
        <v>76</v>
      </c>
      <c r="C106" s="18">
        <v>7.9</v>
      </c>
      <c r="D106" s="18">
        <v>7</v>
      </c>
      <c r="E106" s="18">
        <v>5.9</v>
      </c>
      <c r="F106" s="85">
        <v>0</v>
      </c>
      <c r="G106" s="85">
        <v>0</v>
      </c>
      <c r="H106" s="85">
        <v>0</v>
      </c>
      <c r="I106" s="85">
        <v>0</v>
      </c>
    </row>
    <row r="107" spans="2:9" x14ac:dyDescent="0.35">
      <c r="B107" s="4" t="s">
        <v>18</v>
      </c>
      <c r="C107" s="18">
        <v>157.9</v>
      </c>
      <c r="D107" s="18">
        <v>449.2</v>
      </c>
      <c r="E107" s="18">
        <v>0</v>
      </c>
      <c r="F107" s="85">
        <v>0</v>
      </c>
      <c r="G107" s="85">
        <v>0</v>
      </c>
      <c r="H107" s="85">
        <v>0</v>
      </c>
      <c r="I107" s="85">
        <v>0</v>
      </c>
    </row>
    <row r="108" spans="2:9" x14ac:dyDescent="0.35">
      <c r="B108" s="4" t="s">
        <v>77</v>
      </c>
      <c r="C108" s="18">
        <v>25</v>
      </c>
      <c r="D108" s="18">
        <v>34.6</v>
      </c>
      <c r="E108" s="18">
        <v>45.9</v>
      </c>
      <c r="F108" s="85">
        <v>0</v>
      </c>
      <c r="G108" s="85">
        <v>0</v>
      </c>
      <c r="H108" s="85">
        <v>0</v>
      </c>
      <c r="I108" s="85">
        <v>0</v>
      </c>
    </row>
    <row r="109" spans="2:9" x14ac:dyDescent="0.35">
      <c r="B109" s="4" t="s">
        <v>44</v>
      </c>
      <c r="C109" s="18">
        <v>43.4</v>
      </c>
      <c r="D109" s="18">
        <v>-3.9</v>
      </c>
      <c r="E109" s="18">
        <v>58.7</v>
      </c>
      <c r="F109" s="147">
        <f>-(F61-E61)</f>
        <v>-76.057670000000002</v>
      </c>
      <c r="G109" s="147">
        <f t="shared" ref="G109:I109" si="42">-(G61-F61)</f>
        <v>-39.456724299999991</v>
      </c>
      <c r="H109" s="147">
        <f t="shared" si="42"/>
        <v>-38.61316674599999</v>
      </c>
      <c r="I109" s="147">
        <f t="shared" si="42"/>
        <v>-36.401685377820002</v>
      </c>
    </row>
    <row r="110" spans="2:9" x14ac:dyDescent="0.35">
      <c r="C110" s="14"/>
      <c r="D110" s="14"/>
      <c r="E110" s="14"/>
    </row>
    <row r="111" spans="2:9" x14ac:dyDescent="0.35">
      <c r="B111" s="4" t="s">
        <v>78</v>
      </c>
      <c r="C111" s="18">
        <f>C148</f>
        <v>66.7</v>
      </c>
      <c r="D111" s="18">
        <f t="shared" ref="D111:E111" si="43">D148</f>
        <v>114.09999999999995</v>
      </c>
      <c r="E111" s="18">
        <f t="shared" si="43"/>
        <v>339.29999999999995</v>
      </c>
      <c r="F111" s="79">
        <f>F148</f>
        <v>446.86367906849375</v>
      </c>
      <c r="G111" s="79">
        <f t="shared" ref="G111:I111" si="44">G148</f>
        <v>-400.48295593945227</v>
      </c>
      <c r="H111" s="79">
        <f t="shared" si="44"/>
        <v>-448.17239938489365</v>
      </c>
      <c r="I111" s="79">
        <f t="shared" si="44"/>
        <v>-297.36158395341408</v>
      </c>
    </row>
    <row r="112" spans="2:9" ht="15" thickBot="1" x14ac:dyDescent="0.4">
      <c r="B112" s="10" t="s">
        <v>79</v>
      </c>
      <c r="C112" s="17">
        <f>SUM(C101:C111)</f>
        <v>900.50000000000091</v>
      </c>
      <c r="D112" s="17">
        <f t="shared" ref="D112:I112" si="45">SUM(D101:D111)</f>
        <v>1319.3000000000004</v>
      </c>
      <c r="E112" s="17">
        <f t="shared" si="45"/>
        <v>2113.7999999999997</v>
      </c>
      <c r="F112" s="82">
        <f t="shared" si="45"/>
        <v>2592.6010145804371</v>
      </c>
      <c r="G112" s="82">
        <f t="shared" si="45"/>
        <v>2505.3321444508792</v>
      </c>
      <c r="H112" s="82">
        <f t="shared" si="45"/>
        <v>3209.2657931304097</v>
      </c>
      <c r="I112" s="82">
        <f t="shared" si="45"/>
        <v>4089.9431969541365</v>
      </c>
    </row>
    <row r="113" spans="2:9" x14ac:dyDescent="0.35">
      <c r="C113" s="13"/>
      <c r="D113" s="13"/>
      <c r="E113" s="13"/>
    </row>
    <row r="114" spans="2:9" x14ac:dyDescent="0.35">
      <c r="B114" s="5" t="s">
        <v>80</v>
      </c>
      <c r="C114" s="13"/>
      <c r="D114" s="13"/>
      <c r="E114" s="13"/>
    </row>
    <row r="115" spans="2:9" x14ac:dyDescent="0.35">
      <c r="B115" s="4" t="s">
        <v>81</v>
      </c>
      <c r="C115" s="64">
        <v>-127.9</v>
      </c>
      <c r="D115" s="64">
        <v>-167</v>
      </c>
      <c r="E115" s="64">
        <v>-220</v>
      </c>
      <c r="F115" s="148">
        <f>-F220</f>
        <v>-476.20184500000005</v>
      </c>
      <c r="G115" s="148">
        <f t="shared" ref="G115:I115" si="46">-G220</f>
        <v>-526.54318289999992</v>
      </c>
      <c r="H115" s="148">
        <f t="shared" si="46"/>
        <v>-535.31890261499996</v>
      </c>
      <c r="I115" s="148">
        <f t="shared" si="46"/>
        <v>-501.05849284763997</v>
      </c>
    </row>
    <row r="116" spans="2:9" x14ac:dyDescent="0.35">
      <c r="B116" s="4" t="s">
        <v>82</v>
      </c>
      <c r="C116" s="64">
        <v>-6.7</v>
      </c>
      <c r="D116" s="64">
        <v>-17.100000000000001</v>
      </c>
      <c r="E116" s="64">
        <v>-6.4</v>
      </c>
      <c r="F116" s="79">
        <v>0</v>
      </c>
      <c r="G116" s="79">
        <v>0</v>
      </c>
      <c r="H116" s="79">
        <v>0</v>
      </c>
      <c r="I116" s="79">
        <v>0</v>
      </c>
    </row>
    <row r="117" spans="2:9" x14ac:dyDescent="0.35">
      <c r="B117" s="4" t="s">
        <v>83</v>
      </c>
      <c r="C117" s="64">
        <v>0</v>
      </c>
      <c r="D117" s="64">
        <v>0</v>
      </c>
      <c r="E117" s="64">
        <v>-539.6</v>
      </c>
      <c r="F117" s="79">
        <v>0</v>
      </c>
      <c r="G117" s="79">
        <v>0</v>
      </c>
      <c r="H117" s="79">
        <v>0</v>
      </c>
      <c r="I117" s="79">
        <v>0</v>
      </c>
    </row>
    <row r="118" spans="2:9" x14ac:dyDescent="0.35">
      <c r="B118" s="4" t="s">
        <v>84</v>
      </c>
      <c r="C118" s="64">
        <v>0</v>
      </c>
      <c r="D118" s="64">
        <v>0</v>
      </c>
      <c r="E118" s="64">
        <v>450</v>
      </c>
      <c r="F118" s="79">
        <v>0</v>
      </c>
      <c r="G118" s="79">
        <v>0</v>
      </c>
      <c r="H118" s="79">
        <v>0</v>
      </c>
      <c r="I118" s="79">
        <v>0</v>
      </c>
    </row>
    <row r="119" spans="2:9" x14ac:dyDescent="0.35">
      <c r="B119" s="4" t="s">
        <v>85</v>
      </c>
      <c r="C119" s="64">
        <v>12.4</v>
      </c>
      <c r="D119" s="64">
        <v>0</v>
      </c>
      <c r="E119" s="64">
        <v>0</v>
      </c>
      <c r="F119" s="79">
        <v>0</v>
      </c>
      <c r="G119" s="79">
        <v>0</v>
      </c>
      <c r="H119" s="79">
        <v>0</v>
      </c>
      <c r="I119" s="79">
        <v>0</v>
      </c>
    </row>
    <row r="120" spans="2:9" x14ac:dyDescent="0.35">
      <c r="B120" s="4" t="s">
        <v>86</v>
      </c>
      <c r="C120" s="64">
        <v>-28.8</v>
      </c>
      <c r="D120" s="64">
        <v>-17.600000000000001</v>
      </c>
      <c r="E120" s="64">
        <v>-1184.8</v>
      </c>
      <c r="F120" s="148">
        <f>-((F238-E238)+F235)</f>
        <v>-306.90000000000015</v>
      </c>
      <c r="G120" s="148">
        <f t="shared" ref="G120:I120" si="47">-((G238-F238)+G235)</f>
        <v>0</v>
      </c>
      <c r="H120" s="148">
        <f t="shared" si="47"/>
        <v>0</v>
      </c>
      <c r="I120" s="148">
        <f t="shared" si="47"/>
        <v>0</v>
      </c>
    </row>
    <row r="121" spans="2:9" x14ac:dyDescent="0.35">
      <c r="B121" s="4" t="s">
        <v>87</v>
      </c>
      <c r="C121" s="64">
        <v>11.9</v>
      </c>
      <c r="D121" s="64">
        <v>0</v>
      </c>
      <c r="E121" s="64">
        <v>0</v>
      </c>
      <c r="F121" s="139">
        <v>0</v>
      </c>
      <c r="G121" s="139">
        <v>0</v>
      </c>
      <c r="H121" s="139">
        <v>0</v>
      </c>
      <c r="I121" s="139">
        <v>0</v>
      </c>
    </row>
    <row r="122" spans="2:9" ht="15" thickBot="1" x14ac:dyDescent="0.4">
      <c r="B122" s="65" t="s">
        <v>88</v>
      </c>
      <c r="C122" s="17">
        <f t="shared" ref="C122:I122" si="48">SUM(C115:C121)</f>
        <v>-139.1</v>
      </c>
      <c r="D122" s="17">
        <f t="shared" si="48"/>
        <v>-201.7</v>
      </c>
      <c r="E122" s="17">
        <f t="shared" si="48"/>
        <v>-1500.8</v>
      </c>
      <c r="F122" s="149">
        <f t="shared" si="48"/>
        <v>-783.10184500000014</v>
      </c>
      <c r="G122" s="149">
        <f t="shared" si="48"/>
        <v>-526.54318289999992</v>
      </c>
      <c r="H122" s="149">
        <f t="shared" si="48"/>
        <v>-535.31890261499996</v>
      </c>
      <c r="I122" s="149">
        <f t="shared" si="48"/>
        <v>-501.05849284763997</v>
      </c>
    </row>
    <row r="123" spans="2:9" x14ac:dyDescent="0.35">
      <c r="C123" s="13"/>
      <c r="D123" s="13"/>
      <c r="E123" s="13"/>
    </row>
    <row r="124" spans="2:9" x14ac:dyDescent="0.35">
      <c r="B124" s="5" t="s">
        <v>89</v>
      </c>
      <c r="C124" s="13"/>
      <c r="D124" s="13"/>
      <c r="E124" s="13"/>
    </row>
    <row r="125" spans="2:9" x14ac:dyDescent="0.35">
      <c r="B125" s="4" t="s">
        <v>90</v>
      </c>
      <c r="C125" s="18">
        <v>224.9</v>
      </c>
      <c r="D125" s="18">
        <v>270</v>
      </c>
      <c r="E125" s="18">
        <v>0</v>
      </c>
      <c r="F125" s="139">
        <v>0</v>
      </c>
      <c r="G125" s="139">
        <v>0</v>
      </c>
      <c r="H125" s="139">
        <v>0</v>
      </c>
      <c r="I125" s="139">
        <v>0</v>
      </c>
    </row>
    <row r="126" spans="2:9" x14ac:dyDescent="0.35">
      <c r="B126" s="4" t="s">
        <v>91</v>
      </c>
      <c r="C126" s="18">
        <v>-459.9</v>
      </c>
      <c r="D126" s="18">
        <v>-270</v>
      </c>
      <c r="E126" s="18">
        <v>0</v>
      </c>
      <c r="F126" s="139">
        <v>0</v>
      </c>
      <c r="G126" s="139">
        <v>0</v>
      </c>
      <c r="H126" s="139">
        <v>0</v>
      </c>
      <c r="I126" s="139">
        <v>0</v>
      </c>
    </row>
    <row r="127" spans="2:9" x14ac:dyDescent="0.35">
      <c r="B127" s="4" t="s">
        <v>92</v>
      </c>
      <c r="C127" s="18">
        <v>-27.1</v>
      </c>
      <c r="D127" s="18">
        <v>-21.1</v>
      </c>
      <c r="E127" s="18">
        <v>-20.9</v>
      </c>
      <c r="F127" s="139">
        <f>F243</f>
        <v>-20.9</v>
      </c>
      <c r="G127" s="139">
        <f t="shared" ref="G127:I127" si="49">G243</f>
        <v>-20.9</v>
      </c>
      <c r="H127" s="139">
        <f t="shared" si="49"/>
        <v>-20.9</v>
      </c>
      <c r="I127" s="139">
        <f t="shared" si="49"/>
        <v>-20.9</v>
      </c>
    </row>
    <row r="128" spans="2:9" x14ac:dyDescent="0.35">
      <c r="B128" s="4" t="s">
        <v>93</v>
      </c>
      <c r="C128" s="18">
        <v>-9.5</v>
      </c>
      <c r="D128" s="18">
        <v>-42.2</v>
      </c>
      <c r="E128" s="18">
        <v>-66.599999999999994</v>
      </c>
      <c r="F128" s="150">
        <f>-F38*F184</f>
        <v>-90.281250275597188</v>
      </c>
      <c r="G128" s="150">
        <f>-G38*G184</f>
        <v>-126.89060239701658</v>
      </c>
      <c r="H128" s="150">
        <f>-H38*H184</f>
        <v>-162.51770357944019</v>
      </c>
      <c r="I128" s="150">
        <f>-I38*I184</f>
        <v>-199.25254681857484</v>
      </c>
    </row>
    <row r="129" spans="2:9" x14ac:dyDescent="0.35">
      <c r="B129" s="4" t="s">
        <v>94</v>
      </c>
      <c r="C129" s="18">
        <v>0</v>
      </c>
      <c r="D129" s="18">
        <v>-599.9</v>
      </c>
      <c r="E129" s="18">
        <v>0</v>
      </c>
      <c r="F129" s="139">
        <v>0</v>
      </c>
      <c r="G129" s="139">
        <v>0</v>
      </c>
      <c r="H129" s="139">
        <v>0</v>
      </c>
      <c r="I129" s="139">
        <v>0</v>
      </c>
    </row>
    <row r="130" spans="2:9" x14ac:dyDescent="0.35">
      <c r="B130" s="4" t="s">
        <v>95</v>
      </c>
      <c r="C130" s="18">
        <v>27.4</v>
      </c>
      <c r="D130" s="18">
        <v>33</v>
      </c>
      <c r="E130" s="18">
        <v>26.4</v>
      </c>
      <c r="F130" s="139">
        <v>0</v>
      </c>
      <c r="G130" s="139">
        <v>0</v>
      </c>
      <c r="H130" s="139">
        <v>0</v>
      </c>
      <c r="I130" s="139">
        <v>0</v>
      </c>
    </row>
    <row r="131" spans="2:9" x14ac:dyDescent="0.35">
      <c r="B131" s="4" t="s">
        <v>96</v>
      </c>
      <c r="C131" s="18">
        <v>-3.3</v>
      </c>
      <c r="D131" s="18">
        <v>-21.9</v>
      </c>
      <c r="E131" s="18">
        <v>-11.2</v>
      </c>
      <c r="F131" s="139">
        <v>0</v>
      </c>
      <c r="G131" s="139">
        <v>0</v>
      </c>
      <c r="H131" s="139">
        <v>0</v>
      </c>
      <c r="I131" s="139">
        <v>0</v>
      </c>
    </row>
    <row r="132" spans="2:9" ht="15" thickBot="1" x14ac:dyDescent="0.4">
      <c r="B132" s="10" t="s">
        <v>97</v>
      </c>
      <c r="C132" s="66">
        <f>SUM(C125:C131)</f>
        <v>-247.49999999999997</v>
      </c>
      <c r="D132" s="66">
        <f t="shared" ref="D132:I132" si="50">SUM(D125:D131)</f>
        <v>-652.09999999999991</v>
      </c>
      <c r="E132" s="66">
        <f t="shared" si="50"/>
        <v>-72.3</v>
      </c>
      <c r="F132" s="151">
        <f t="shared" si="50"/>
        <v>-111.18125027559719</v>
      </c>
      <c r="G132" s="151">
        <f t="shared" si="50"/>
        <v>-147.79060239701658</v>
      </c>
      <c r="H132" s="151">
        <f t="shared" si="50"/>
        <v>-183.4177035794402</v>
      </c>
      <c r="I132" s="151">
        <f t="shared" si="50"/>
        <v>-220.15254681857485</v>
      </c>
    </row>
    <row r="133" spans="2:9" x14ac:dyDescent="0.35">
      <c r="C133" s="13"/>
      <c r="D133" s="13"/>
      <c r="E133" s="13"/>
    </row>
    <row r="134" spans="2:9" x14ac:dyDescent="0.35">
      <c r="B134" s="115" t="s">
        <v>98</v>
      </c>
      <c r="C134" s="101">
        <v>1.5</v>
      </c>
      <c r="D134" s="101">
        <v>-21.9</v>
      </c>
      <c r="E134" s="101">
        <v>16.899999999999999</v>
      </c>
      <c r="F134" s="102">
        <v>0</v>
      </c>
      <c r="G134" s="102">
        <v>0</v>
      </c>
      <c r="H134" s="102">
        <v>0</v>
      </c>
      <c r="I134" s="102">
        <v>0</v>
      </c>
    </row>
    <row r="135" spans="2:9" x14ac:dyDescent="0.35">
      <c r="B135" s="107" t="s">
        <v>99</v>
      </c>
      <c r="C135" s="67">
        <f t="shared" ref="C135:I135" si="51">SUM(C132,C122,C112,C134)</f>
        <v>515.400000000001</v>
      </c>
      <c r="D135" s="67">
        <f t="shared" si="51"/>
        <v>443.60000000000048</v>
      </c>
      <c r="E135" s="67">
        <f t="shared" si="51"/>
        <v>557.5999999999998</v>
      </c>
      <c r="F135" s="86">
        <f t="shared" si="51"/>
        <v>1698.3179193048397</v>
      </c>
      <c r="G135" s="86">
        <f t="shared" si="51"/>
        <v>1830.9983591538628</v>
      </c>
      <c r="H135" s="86">
        <f t="shared" si="51"/>
        <v>2490.5291869359698</v>
      </c>
      <c r="I135" s="86">
        <f t="shared" si="51"/>
        <v>3368.7321572879218</v>
      </c>
    </row>
    <row r="136" spans="2:9" x14ac:dyDescent="0.35">
      <c r="B136" s="115" t="s">
        <v>100</v>
      </c>
      <c r="C136" s="103">
        <v>273.2</v>
      </c>
      <c r="D136" s="103">
        <v>788.6</v>
      </c>
      <c r="E136" s="103">
        <v>1232.2</v>
      </c>
      <c r="F136" s="104">
        <f>E137</f>
        <v>1789.7999999999997</v>
      </c>
      <c r="G136" s="104">
        <f t="shared" ref="G136:I136" si="52">F137</f>
        <v>3488.1179193048392</v>
      </c>
      <c r="H136" s="104">
        <f t="shared" si="52"/>
        <v>5319.1162784587023</v>
      </c>
      <c r="I136" s="104">
        <f t="shared" si="52"/>
        <v>7809.6454653946721</v>
      </c>
    </row>
    <row r="137" spans="2:9" ht="15" thickBot="1" x14ac:dyDescent="0.4">
      <c r="B137" s="105" t="s">
        <v>101</v>
      </c>
      <c r="C137" s="106">
        <f>SUM(C135:C136)</f>
        <v>788.60000000000105</v>
      </c>
      <c r="D137" s="106">
        <f t="shared" ref="D137:I137" si="53">SUM(D135:D136)</f>
        <v>1232.2000000000005</v>
      </c>
      <c r="E137" s="106">
        <f t="shared" si="53"/>
        <v>1789.7999999999997</v>
      </c>
      <c r="F137" s="108">
        <f t="shared" si="53"/>
        <v>3488.1179193048392</v>
      </c>
      <c r="G137" s="108">
        <f t="shared" si="53"/>
        <v>5319.1162784587023</v>
      </c>
      <c r="H137" s="108">
        <f t="shared" si="53"/>
        <v>7809.6454653946721</v>
      </c>
      <c r="I137" s="108">
        <f t="shared" si="53"/>
        <v>11178.377622682594</v>
      </c>
    </row>
    <row r="138" spans="2:9" ht="15" thickTop="1" x14ac:dyDescent="0.35">
      <c r="C138" s="13"/>
      <c r="D138" s="13"/>
      <c r="E138" s="13"/>
    </row>
    <row r="139" spans="2:9" x14ac:dyDescent="0.35">
      <c r="B139" s="12" t="s">
        <v>103</v>
      </c>
      <c r="C139" s="13"/>
      <c r="D139" s="13"/>
      <c r="E139" s="13"/>
    </row>
    <row r="140" spans="2:9" x14ac:dyDescent="0.35">
      <c r="B140" s="5" t="s">
        <v>78</v>
      </c>
      <c r="C140" s="13"/>
      <c r="D140" s="13"/>
      <c r="E140" s="13"/>
    </row>
    <row r="141" spans="2:9" x14ac:dyDescent="0.35">
      <c r="B141" s="4" t="s">
        <v>102</v>
      </c>
      <c r="C141" s="69">
        <v>-277.2</v>
      </c>
      <c r="D141" s="69">
        <v>-280.3</v>
      </c>
      <c r="E141" s="69">
        <v>-547.5</v>
      </c>
      <c r="F141" s="139">
        <f>-(F256-E256)</f>
        <v>-991.36813698630067</v>
      </c>
      <c r="G141" s="139">
        <f t="shared" ref="G141:I141" si="54">-(G256-F256)</f>
        <v>-1189.1067597260271</v>
      </c>
      <c r="H141" s="139">
        <f t="shared" si="54"/>
        <v>-1163.6844772767126</v>
      </c>
      <c r="I141" s="139">
        <f t="shared" si="54"/>
        <v>-1097.0370935781357</v>
      </c>
    </row>
    <row r="142" spans="2:9" x14ac:dyDescent="0.35">
      <c r="B142" s="4" t="s">
        <v>34</v>
      </c>
      <c r="C142" s="69">
        <v>-54</v>
      </c>
      <c r="D142" s="69">
        <v>-369.3</v>
      </c>
      <c r="E142" s="69">
        <v>-164.7</v>
      </c>
      <c r="F142" s="139">
        <f t="shared" ref="F142:I142" si="55">-(F257-E257)</f>
        <v>-929.16873424657524</v>
      </c>
      <c r="G142" s="139">
        <f t="shared" si="55"/>
        <v>-384.09266621369852</v>
      </c>
      <c r="H142" s="139">
        <f t="shared" si="55"/>
        <v>-421.61923540339694</v>
      </c>
      <c r="I142" s="139">
        <f t="shared" si="55"/>
        <v>-322.89262904032466</v>
      </c>
    </row>
    <row r="143" spans="2:9" x14ac:dyDescent="0.35">
      <c r="B143" s="4" t="s">
        <v>35</v>
      </c>
      <c r="C143" s="69">
        <v>4.7</v>
      </c>
      <c r="D143" s="69">
        <v>-63.7</v>
      </c>
      <c r="E143" s="69">
        <v>-72.900000000000006</v>
      </c>
      <c r="F143" s="139">
        <f t="shared" ref="F143:I143" si="56">-(F258-E258)</f>
        <v>-104.52491299999997</v>
      </c>
      <c r="G143" s="139">
        <f t="shared" si="56"/>
        <v>-153.8812247699999</v>
      </c>
      <c r="H143" s="139">
        <f t="shared" si="56"/>
        <v>-150.59135030940001</v>
      </c>
      <c r="I143" s="139">
        <f t="shared" si="56"/>
        <v>-141.96657297349793</v>
      </c>
    </row>
    <row r="144" spans="2:9" x14ac:dyDescent="0.35">
      <c r="B144" s="4" t="s">
        <v>51</v>
      </c>
      <c r="C144" s="69">
        <v>-17.7</v>
      </c>
      <c r="D144" s="69">
        <v>343.1</v>
      </c>
      <c r="E144" s="69">
        <v>381.2</v>
      </c>
      <c r="F144" s="79">
        <f>(F261-E261)</f>
        <v>772.40885830136995</v>
      </c>
      <c r="G144" s="79">
        <f t="shared" ref="G144:I144" si="57">(G261-F261)</f>
        <v>610.25406222027368</v>
      </c>
      <c r="H144" s="79">
        <f t="shared" si="57"/>
        <v>615.50253343561599</v>
      </c>
      <c r="I144" s="79">
        <f t="shared" si="57"/>
        <v>550.41929555013485</v>
      </c>
    </row>
    <row r="145" spans="2:9" x14ac:dyDescent="0.35">
      <c r="B145" s="4" t="s">
        <v>52</v>
      </c>
      <c r="C145" s="69">
        <v>274.2</v>
      </c>
      <c r="D145" s="69">
        <v>434.5</v>
      </c>
      <c r="E145" s="69">
        <v>717.5</v>
      </c>
      <c r="F145" s="79">
        <f t="shared" ref="F145:I145" si="58">(F262-E262)</f>
        <v>1450.6840799999998</v>
      </c>
      <c r="G145" s="79">
        <f t="shared" si="58"/>
        <v>420.41820029999963</v>
      </c>
      <c r="H145" s="79">
        <f t="shared" si="58"/>
        <v>382.621379574</v>
      </c>
      <c r="I145" s="79">
        <f t="shared" si="58"/>
        <v>441.10277575475948</v>
      </c>
    </row>
    <row r="146" spans="2:9" x14ac:dyDescent="0.35">
      <c r="B146" s="4" t="s">
        <v>53</v>
      </c>
      <c r="C146" s="69">
        <v>91.5</v>
      </c>
      <c r="D146" s="69">
        <v>7</v>
      </c>
      <c r="E146" s="69">
        <v>93.1</v>
      </c>
      <c r="F146" s="79">
        <f t="shared" ref="F146:I146" si="59">(F263-E263)</f>
        <v>248.83252499999992</v>
      </c>
      <c r="G146" s="79">
        <f t="shared" si="59"/>
        <v>295.92543224999986</v>
      </c>
      <c r="H146" s="79">
        <f t="shared" si="59"/>
        <v>289.59875059499996</v>
      </c>
      <c r="I146" s="79">
        <f t="shared" si="59"/>
        <v>273.01264033364987</v>
      </c>
    </row>
    <row r="147" spans="2:9" x14ac:dyDescent="0.35">
      <c r="B147" s="4" t="s">
        <v>54</v>
      </c>
      <c r="C147" s="69">
        <v>45.2</v>
      </c>
      <c r="D147" s="69">
        <v>42.8</v>
      </c>
      <c r="E147" s="69">
        <v>-67.400000000000006</v>
      </c>
      <c r="F147" s="79">
        <f>(F264-E264)</f>
        <v>0</v>
      </c>
      <c r="G147" s="79">
        <f t="shared" ref="G147:I147" si="60">(G264-F264)</f>
        <v>0</v>
      </c>
      <c r="H147" s="79">
        <f t="shared" si="60"/>
        <v>0</v>
      </c>
      <c r="I147" s="79">
        <f t="shared" si="60"/>
        <v>0</v>
      </c>
    </row>
    <row r="148" spans="2:9" x14ac:dyDescent="0.35">
      <c r="B148" s="107" t="s">
        <v>104</v>
      </c>
      <c r="C148" s="98">
        <f>SUM(C141:C147)</f>
        <v>66.7</v>
      </c>
      <c r="D148" s="98">
        <f t="shared" ref="D148:I148" si="61">SUM(D141:D147)</f>
        <v>114.09999999999995</v>
      </c>
      <c r="E148" s="98">
        <f t="shared" si="61"/>
        <v>339.29999999999995</v>
      </c>
      <c r="F148" s="152">
        <f t="shared" si="61"/>
        <v>446.86367906849375</v>
      </c>
      <c r="G148" s="152">
        <f t="shared" si="61"/>
        <v>-400.48295593945227</v>
      </c>
      <c r="H148" s="152">
        <f t="shared" si="61"/>
        <v>-448.17239938489365</v>
      </c>
      <c r="I148" s="152">
        <f t="shared" si="61"/>
        <v>-297.36158395341408</v>
      </c>
    </row>
    <row r="149" spans="2:9" x14ac:dyDescent="0.35">
      <c r="B149" s="4" t="s">
        <v>105</v>
      </c>
      <c r="C149" s="69">
        <v>176.7</v>
      </c>
      <c r="D149" s="69">
        <v>155.5</v>
      </c>
      <c r="E149" s="69">
        <v>126.7</v>
      </c>
      <c r="F149" s="79">
        <f>F246</f>
        <v>150.98811014778579</v>
      </c>
      <c r="G149" s="79">
        <f t="shared" ref="G149:I149" si="62">G246</f>
        <v>149.90091044335733</v>
      </c>
      <c r="H149" s="79">
        <f t="shared" si="62"/>
        <v>148.81371073892893</v>
      </c>
      <c r="I149" s="79">
        <f t="shared" si="62"/>
        <v>147.72651103450048</v>
      </c>
    </row>
    <row r="151" spans="2:9" ht="15" thickBot="1" x14ac:dyDescent="0.4">
      <c r="B151" s="94" t="s">
        <v>101</v>
      </c>
      <c r="C151" s="109">
        <f>C137</f>
        <v>788.60000000000105</v>
      </c>
      <c r="D151" s="109">
        <f t="shared" ref="D151:I151" si="63">D137</f>
        <v>1232.2000000000005</v>
      </c>
      <c r="E151" s="109">
        <f t="shared" si="63"/>
        <v>1789.7999999999997</v>
      </c>
      <c r="F151" s="96">
        <f t="shared" si="63"/>
        <v>3488.1179193048392</v>
      </c>
      <c r="G151" s="96">
        <f t="shared" si="63"/>
        <v>5319.1162784587023</v>
      </c>
      <c r="H151" s="96">
        <f t="shared" si="63"/>
        <v>7809.6454653946721</v>
      </c>
      <c r="I151" s="96">
        <f t="shared" si="63"/>
        <v>11178.377622682594</v>
      </c>
    </row>
    <row r="152" spans="2:9" ht="15" thickTop="1" x14ac:dyDescent="0.35">
      <c r="B152" s="3" t="s">
        <v>109</v>
      </c>
      <c r="C152" s="25">
        <v>8.1999999999999993</v>
      </c>
      <c r="D152" s="25">
        <v>4.5999999999999996</v>
      </c>
      <c r="E152" s="25">
        <v>61.4</v>
      </c>
      <c r="F152" s="85">
        <f>E152</f>
        <v>61.4</v>
      </c>
      <c r="G152" s="85">
        <f t="shared" ref="G152:I152" si="64">F152</f>
        <v>61.4</v>
      </c>
      <c r="H152" s="85">
        <f t="shared" si="64"/>
        <v>61.4</v>
      </c>
      <c r="I152" s="85">
        <f t="shared" si="64"/>
        <v>61.4</v>
      </c>
    </row>
    <row r="153" spans="2:9" x14ac:dyDescent="0.35">
      <c r="B153" s="3" t="s">
        <v>110</v>
      </c>
      <c r="C153" s="24">
        <f t="shared" ref="C153:I153" si="65">C46</f>
        <v>780.4</v>
      </c>
      <c r="D153" s="24">
        <f t="shared" si="65"/>
        <v>1227.5999999999999</v>
      </c>
      <c r="E153" s="24">
        <f t="shared" si="65"/>
        <v>1728.4</v>
      </c>
      <c r="F153" s="79">
        <f t="shared" si="65"/>
        <v>3426.7179193048391</v>
      </c>
      <c r="G153" s="79">
        <f t="shared" si="65"/>
        <v>5257.7162784587026</v>
      </c>
      <c r="H153" s="79">
        <f t="shared" si="65"/>
        <v>7748.2454653946725</v>
      </c>
      <c r="I153" s="79">
        <f t="shared" si="65"/>
        <v>11116.977622682594</v>
      </c>
    </row>
    <row r="154" spans="2:9" x14ac:dyDescent="0.35">
      <c r="B154" s="3" t="s">
        <v>108</v>
      </c>
      <c r="C154" s="26">
        <f t="shared" ref="C154:I154" si="66">C151-C152-C153</f>
        <v>1.0231815394945443E-12</v>
      </c>
      <c r="D154" s="24">
        <f t="shared" si="66"/>
        <v>0</v>
      </c>
      <c r="E154" s="24">
        <f t="shared" si="66"/>
        <v>0</v>
      </c>
      <c r="F154" s="79">
        <f t="shared" si="66"/>
        <v>0</v>
      </c>
      <c r="G154" s="79">
        <f t="shared" si="66"/>
        <v>0</v>
      </c>
      <c r="H154" s="79">
        <f t="shared" si="66"/>
        <v>0</v>
      </c>
      <c r="I154" s="79">
        <f t="shared" si="66"/>
        <v>0</v>
      </c>
    </row>
    <row r="156" spans="2:9" x14ac:dyDescent="0.35">
      <c r="B156" s="6" t="s">
        <v>111</v>
      </c>
      <c r="C156" s="23"/>
      <c r="D156" s="23"/>
      <c r="E156" s="23"/>
      <c r="F156" s="73"/>
      <c r="G156" s="73"/>
      <c r="H156" s="73"/>
      <c r="I156" s="73"/>
    </row>
    <row r="158" spans="2:9" x14ac:dyDescent="0.35">
      <c r="B158" s="2" t="s">
        <v>112</v>
      </c>
    </row>
    <row r="159" spans="2:9" x14ac:dyDescent="0.35">
      <c r="B159" s="3" t="s">
        <v>113</v>
      </c>
      <c r="C159" s="27" t="s">
        <v>116</v>
      </c>
      <c r="D159" s="27">
        <f t="shared" ref="D159:E161" si="67">D14/C14-1</f>
        <v>0.18264553004938855</v>
      </c>
      <c r="E159" s="27">
        <f t="shared" si="67"/>
        <v>0.31236411980918133</v>
      </c>
      <c r="F159" s="78"/>
      <c r="G159" s="78"/>
      <c r="H159" s="78"/>
      <c r="I159" s="78"/>
    </row>
    <row r="160" spans="2:9" x14ac:dyDescent="0.35">
      <c r="B160" s="3" t="s">
        <v>114</v>
      </c>
      <c r="D160" s="27">
        <f t="shared" si="67"/>
        <v>0.11063070482465176</v>
      </c>
      <c r="E160" s="27">
        <f t="shared" si="67"/>
        <v>0.13656306000123597</v>
      </c>
      <c r="F160" s="78"/>
      <c r="G160" s="78"/>
      <c r="H160" s="78"/>
      <c r="I160" s="78"/>
    </row>
    <row r="161" spans="2:9" x14ac:dyDescent="0.35">
      <c r="B161" s="3" t="s">
        <v>115</v>
      </c>
      <c r="D161" s="27">
        <f t="shared" si="67"/>
        <v>0.16735633523720694</v>
      </c>
      <c r="E161" s="27">
        <f t="shared" si="67"/>
        <v>0.27685414014328869</v>
      </c>
      <c r="F161" s="119">
        <f>F16/E16-1</f>
        <v>0.33000000000000007</v>
      </c>
      <c r="G161" s="119">
        <f>G16/F16-1</f>
        <v>0.28999999999999981</v>
      </c>
      <c r="H161" s="119">
        <f>H16/G16-1</f>
        <v>0.21999999999999997</v>
      </c>
      <c r="I161" s="119">
        <f>I16/H16-1</f>
        <v>0.16999999999999993</v>
      </c>
    </row>
    <row r="163" spans="2:9" x14ac:dyDescent="0.35">
      <c r="B163" s="2" t="s">
        <v>117</v>
      </c>
    </row>
    <row r="164" spans="2:9" x14ac:dyDescent="0.35">
      <c r="B164" s="3" t="s">
        <v>118</v>
      </c>
      <c r="C164" s="27">
        <f t="shared" ref="C164:E166" si="68">(C14-C19)/C14</f>
        <v>0.33858049240672583</v>
      </c>
      <c r="D164" s="27">
        <f t="shared" si="68"/>
        <v>0.35881754907327762</v>
      </c>
      <c r="E164" s="27">
        <f t="shared" si="68"/>
        <v>0.35079732081138421</v>
      </c>
      <c r="F164" s="78"/>
      <c r="G164" s="78"/>
      <c r="H164" s="78"/>
      <c r="I164" s="78"/>
    </row>
    <row r="165" spans="2:9" x14ac:dyDescent="0.35">
      <c r="B165" s="3" t="s">
        <v>119</v>
      </c>
      <c r="C165" s="27">
        <f t="shared" si="68"/>
        <v>0.39125660558643877</v>
      </c>
      <c r="D165" s="27">
        <f t="shared" si="68"/>
        <v>0.39553852808502743</v>
      </c>
      <c r="E165" s="27">
        <f t="shared" si="68"/>
        <v>0.41961615832110039</v>
      </c>
      <c r="F165" s="78"/>
      <c r="G165" s="78"/>
      <c r="H165" s="78"/>
      <c r="I165" s="78"/>
    </row>
    <row r="166" spans="2:9" x14ac:dyDescent="0.35">
      <c r="B166" s="34" t="s">
        <v>120</v>
      </c>
      <c r="C166" s="35">
        <f t="shared" si="68"/>
        <v>0.34976395850332215</v>
      </c>
      <c r="D166" s="35">
        <f t="shared" si="68"/>
        <v>0.36623480366459482</v>
      </c>
      <c r="E166" s="35">
        <f t="shared" si="68"/>
        <v>0.36317070548099201</v>
      </c>
      <c r="F166" s="118">
        <f>(F16-F21)/F16</f>
        <v>0.36</v>
      </c>
      <c r="G166" s="118">
        <f>(G16-G21)/G16</f>
        <v>0.36</v>
      </c>
      <c r="H166" s="118">
        <f>(H16-H21)/H16</f>
        <v>0.36</v>
      </c>
      <c r="I166" s="118">
        <f>(I16-I21)/I16</f>
        <v>0.36</v>
      </c>
    </row>
    <row r="167" spans="2:9" x14ac:dyDescent="0.35">
      <c r="B167" s="3" t="s">
        <v>121</v>
      </c>
      <c r="C167" s="27">
        <f t="shared" ref="C167:I167" si="69">C25/C16</f>
        <v>0.19120818277188481</v>
      </c>
      <c r="D167" s="27">
        <f t="shared" si="69"/>
        <v>0.17149704186325171</v>
      </c>
      <c r="E167" s="27">
        <f t="shared" si="69"/>
        <v>0.15814426338478382</v>
      </c>
      <c r="F167" s="119">
        <f t="shared" si="69"/>
        <v>0.15</v>
      </c>
      <c r="G167" s="119">
        <f t="shared" si="69"/>
        <v>0.14499999999999999</v>
      </c>
      <c r="H167" s="119">
        <f t="shared" si="69"/>
        <v>0.14000000000000001</v>
      </c>
      <c r="I167" s="119">
        <f t="shared" si="69"/>
        <v>0.13500000000000001</v>
      </c>
    </row>
    <row r="168" spans="2:9" x14ac:dyDescent="0.35">
      <c r="B168" s="3" t="s">
        <v>122</v>
      </c>
      <c r="C168" s="27">
        <f t="shared" ref="C168:I168" si="70">C27/C16</f>
        <v>5.0559505769903253E-3</v>
      </c>
      <c r="D168" s="27">
        <f t="shared" si="70"/>
        <v>1.0734167103522304E-3</v>
      </c>
      <c r="E168" s="27">
        <f t="shared" si="70"/>
        <v>6.5787544355272289E-3</v>
      </c>
      <c r="F168" s="119">
        <f t="shared" si="70"/>
        <v>5.0000000000000001E-3</v>
      </c>
      <c r="G168" s="119">
        <f t="shared" si="70"/>
        <v>5.0000000000000001E-3</v>
      </c>
      <c r="H168" s="119">
        <f t="shared" si="70"/>
        <v>5.0000000000000001E-3</v>
      </c>
      <c r="I168" s="119">
        <f t="shared" si="70"/>
        <v>5.0000000000000001E-3</v>
      </c>
    </row>
    <row r="169" spans="2:9" x14ac:dyDescent="0.35">
      <c r="B169" s="3" t="s">
        <v>123</v>
      </c>
      <c r="C169" s="27">
        <f t="shared" ref="C169:I169" si="71">C29/C16</f>
        <v>0.12708357617437943</v>
      </c>
      <c r="D169" s="27">
        <f t="shared" si="71"/>
        <v>0.17067325694600474</v>
      </c>
      <c r="E169" s="27">
        <f t="shared" si="71"/>
        <v>0.17885805335340521</v>
      </c>
      <c r="F169" s="119">
        <f t="shared" si="71"/>
        <v>0.18457483764053872</v>
      </c>
      <c r="G169" s="119">
        <f t="shared" si="71"/>
        <v>0.19755087861189741</v>
      </c>
      <c r="H169" s="119">
        <f t="shared" si="71"/>
        <v>0.20537489620704524</v>
      </c>
      <c r="I169" s="119">
        <f t="shared" si="71"/>
        <v>0.2138250722337505</v>
      </c>
    </row>
    <row r="170" spans="2:9" x14ac:dyDescent="0.35">
      <c r="B170" s="3" t="s">
        <v>124</v>
      </c>
      <c r="C170" s="27">
        <f t="shared" ref="C170:I170" si="72">C37/C36</f>
        <v>0.13771781899943764</v>
      </c>
      <c r="D170" s="27">
        <f t="shared" si="72"/>
        <v>0.35223412594721681</v>
      </c>
      <c r="E170" s="27">
        <f t="shared" si="72"/>
        <v>0.23485848785808602</v>
      </c>
      <c r="F170" s="119">
        <f t="shared" si="72"/>
        <v>0.23499999999999999</v>
      </c>
      <c r="G170" s="119">
        <f t="shared" si="72"/>
        <v>0.23500000000000001</v>
      </c>
      <c r="H170" s="119">
        <f t="shared" si="72"/>
        <v>0.23499999999999999</v>
      </c>
      <c r="I170" s="119">
        <f t="shared" si="72"/>
        <v>0.23499999999999999</v>
      </c>
    </row>
    <row r="172" spans="2:9" x14ac:dyDescent="0.35">
      <c r="B172" s="2" t="s">
        <v>125</v>
      </c>
    </row>
    <row r="173" spans="2:9" x14ac:dyDescent="0.35">
      <c r="B173" s="3" t="s">
        <v>126</v>
      </c>
      <c r="C173" s="28">
        <f>C48/C16*365</f>
        <v>112.64519466138242</v>
      </c>
      <c r="D173" s="28">
        <f>D48/D16*365</f>
        <v>107.63941935644922</v>
      </c>
      <c r="E173" s="28">
        <f>E48/E16*365</f>
        <v>110.92825931827291</v>
      </c>
      <c r="F173" s="78"/>
      <c r="G173" s="78"/>
      <c r="H173" s="78"/>
      <c r="I173" s="78"/>
    </row>
    <row r="174" spans="2:9" x14ac:dyDescent="0.35">
      <c r="B174" s="3" t="s">
        <v>127</v>
      </c>
      <c r="C174" s="28">
        <f>C49/C21*365</f>
        <v>72.326058215878277</v>
      </c>
      <c r="D174" s="28">
        <f>D49/D21*365</f>
        <v>89.452891129667577</v>
      </c>
      <c r="E174" s="28">
        <f>E49/E21*365</f>
        <v>81.603527407248222</v>
      </c>
      <c r="F174" s="78"/>
      <c r="G174" s="78"/>
      <c r="H174" s="78"/>
      <c r="I174" s="78"/>
    </row>
    <row r="175" spans="2:9" x14ac:dyDescent="0.35">
      <c r="B175" s="3" t="s">
        <v>128</v>
      </c>
      <c r="C175" s="28">
        <f>C71/C21*365</f>
        <v>80.676720371075803</v>
      </c>
      <c r="D175" s="28">
        <f>D71/D21*365</f>
        <v>94.628564676225011</v>
      </c>
      <c r="E175" s="28">
        <f>E71/E21*365</f>
        <v>98.406066280872494</v>
      </c>
      <c r="F175" s="78"/>
      <c r="G175" s="78"/>
      <c r="H175" s="78"/>
      <c r="I175" s="78"/>
    </row>
    <row r="176" spans="2:9" x14ac:dyDescent="0.35">
      <c r="B176" s="3" t="s">
        <v>129</v>
      </c>
      <c r="C176" s="27">
        <f>C72/C16</f>
        <v>9.3090686560205138E-2</v>
      </c>
      <c r="D176" s="27">
        <f>D72/D16</f>
        <v>0.13271674280436355</v>
      </c>
      <c r="E176" s="27">
        <f>E72/E16</f>
        <v>0.17739176336034568</v>
      </c>
      <c r="F176" s="78"/>
      <c r="G176" s="78"/>
      <c r="H176" s="78"/>
      <c r="I176" s="78"/>
    </row>
    <row r="177" spans="2:9" x14ac:dyDescent="0.35">
      <c r="B177" s="3" t="s">
        <v>130</v>
      </c>
      <c r="C177" s="27">
        <f>C50/C16</f>
        <v>3.1865602051521148E-2</v>
      </c>
      <c r="D177" s="27">
        <f>D50/D16</f>
        <v>3.3338325969195441E-2</v>
      </c>
      <c r="E177" s="27">
        <f>E50/E16</f>
        <v>4.1652411069511924E-2</v>
      </c>
      <c r="F177" s="78"/>
      <c r="G177" s="78"/>
      <c r="H177" s="78"/>
      <c r="I177" s="78"/>
    </row>
    <row r="178" spans="2:9" x14ac:dyDescent="0.35">
      <c r="B178" s="3" t="s">
        <v>131</v>
      </c>
      <c r="C178" s="27">
        <f>C73/C16</f>
        <v>8.9142091152815003E-2</v>
      </c>
      <c r="D178" s="27">
        <f>D73/D16</f>
        <v>7.646221822811354E-2</v>
      </c>
      <c r="E178" s="27">
        <f>E73/E16</f>
        <v>7.5425957242983802E-2</v>
      </c>
      <c r="F178" s="78"/>
      <c r="G178" s="78"/>
      <c r="H178" s="78"/>
      <c r="I178" s="78"/>
    </row>
    <row r="180" spans="2:9" x14ac:dyDescent="0.35">
      <c r="B180" s="2" t="s">
        <v>132</v>
      </c>
    </row>
    <row r="181" spans="2:9" x14ac:dyDescent="0.35">
      <c r="B181" s="3" t="s">
        <v>133</v>
      </c>
      <c r="C181" s="27">
        <f>-C115/C16</f>
        <v>1.8635621867350505E-2</v>
      </c>
      <c r="D181" s="27">
        <f>-D115/D16</f>
        <v>2.0844254724281683E-2</v>
      </c>
      <c r="E181" s="27">
        <f>-E115/E16</f>
        <v>2.1505586564873558E-2</v>
      </c>
      <c r="F181" s="78"/>
      <c r="G181" s="78"/>
      <c r="H181" s="78"/>
      <c r="I181" s="78"/>
    </row>
    <row r="182" spans="2:9" x14ac:dyDescent="0.35">
      <c r="B182" s="3" t="s">
        <v>134</v>
      </c>
      <c r="C182" s="27"/>
      <c r="D182" s="27">
        <f>D103/C54</f>
        <v>0.14568826995179432</v>
      </c>
      <c r="E182" s="27">
        <f>E103/D54</f>
        <v>0.15533514637657972</v>
      </c>
      <c r="F182" s="78"/>
      <c r="G182" s="78"/>
      <c r="H182" s="78"/>
      <c r="I182" s="78"/>
    </row>
    <row r="183" spans="2:9" x14ac:dyDescent="0.35">
      <c r="B183" s="3" t="s">
        <v>135</v>
      </c>
      <c r="C183" s="27"/>
      <c r="D183" s="27">
        <f>D32/AVERAGE(C70+C78,D70+D78)</f>
        <v>5.1251469560920755E-2</v>
      </c>
      <c r="E183" s="27">
        <f>E32/AVERAGE(D70+D78,E70+E78)</f>
        <v>2.9480243785523521E-2</v>
      </c>
      <c r="F183" s="78"/>
      <c r="G183" s="78"/>
      <c r="H183" s="78"/>
      <c r="I183" s="78"/>
    </row>
    <row r="184" spans="2:9" x14ac:dyDescent="0.35">
      <c r="B184" s="3" t="s">
        <v>136</v>
      </c>
      <c r="C184" s="27">
        <f>-C128/C38</f>
        <v>2.0643198609300261E-2</v>
      </c>
      <c r="D184" s="27">
        <f>-D128/D38</f>
        <v>8.5114965711980517E-2</v>
      </c>
      <c r="E184" s="27">
        <f>-E128/E38</f>
        <v>4.9969987995198084E-2</v>
      </c>
      <c r="F184" s="119">
        <v>0.05</v>
      </c>
      <c r="G184" s="119">
        <f>F184</f>
        <v>0.05</v>
      </c>
      <c r="H184" s="119">
        <f t="shared" ref="H184:I184" si="73">G184</f>
        <v>0.05</v>
      </c>
      <c r="I184" s="119">
        <f t="shared" si="73"/>
        <v>0.05</v>
      </c>
    </row>
    <row r="185" spans="2:9" x14ac:dyDescent="0.35">
      <c r="B185" s="1" t="s">
        <v>245</v>
      </c>
      <c r="F185" s="27"/>
      <c r="G185" s="27"/>
      <c r="H185" s="27"/>
      <c r="I185" s="27"/>
    </row>
    <row r="186" spans="2:9" x14ac:dyDescent="0.35">
      <c r="F186" s="27"/>
      <c r="G186" s="27"/>
      <c r="H186" s="27"/>
      <c r="I186" s="27"/>
    </row>
    <row r="187" spans="2:9" x14ac:dyDescent="0.35">
      <c r="B187" s="2" t="s">
        <v>246</v>
      </c>
      <c r="C187" s="27">
        <f>C61/C16</f>
        <v>1.4628744608928778E-2</v>
      </c>
      <c r="D187" s="27">
        <f>D61/D16</f>
        <v>1.1483062482837814E-2</v>
      </c>
      <c r="E187" s="27">
        <f>E61/E16</f>
        <v>5.865159972238243E-3</v>
      </c>
      <c r="F187" s="120">
        <v>0.01</v>
      </c>
      <c r="G187" s="120">
        <v>0.01</v>
      </c>
      <c r="H187" s="120">
        <v>0.01</v>
      </c>
      <c r="I187" s="120">
        <v>0.01</v>
      </c>
    </row>
    <row r="188" spans="2:9" x14ac:dyDescent="0.35">
      <c r="B188" s="1" t="s">
        <v>247</v>
      </c>
      <c r="F188" s="27"/>
      <c r="G188" s="27"/>
      <c r="H188" s="27"/>
      <c r="I188" s="27"/>
    </row>
    <row r="189" spans="2:9" x14ac:dyDescent="0.35">
      <c r="F189" s="27"/>
      <c r="G189" s="27"/>
      <c r="H189" s="27"/>
      <c r="I189" s="27"/>
    </row>
    <row r="190" spans="2:9" x14ac:dyDescent="0.35">
      <c r="B190" s="2" t="s">
        <v>248</v>
      </c>
      <c r="C190" s="27">
        <f>C81/C16</f>
        <v>2.0777479892761391E-2</v>
      </c>
      <c r="D190" s="27">
        <f>D81/D16</f>
        <v>2.1393444669113058E-2</v>
      </c>
      <c r="E190" s="27">
        <f>E81/E16</f>
        <v>2.3968953753213618E-2</v>
      </c>
      <c r="F190" s="120">
        <v>2.4E-2</v>
      </c>
      <c r="G190" s="120">
        <v>2.4E-2</v>
      </c>
      <c r="H190" s="120">
        <v>2.4E-2</v>
      </c>
      <c r="I190" s="120">
        <v>2.4E-2</v>
      </c>
    </row>
    <row r="191" spans="2:9" ht="91" customHeight="1" x14ac:dyDescent="0.35">
      <c r="B191" s="37" t="s">
        <v>249</v>
      </c>
    </row>
    <row r="194" spans="2:13" x14ac:dyDescent="0.35">
      <c r="B194" s="12" t="s">
        <v>146</v>
      </c>
    </row>
    <row r="195" spans="2:13" x14ac:dyDescent="0.35">
      <c r="B195" s="2"/>
    </row>
    <row r="196" spans="2:13" x14ac:dyDescent="0.35">
      <c r="B196" s="111" t="s">
        <v>147</v>
      </c>
      <c r="C196" s="112"/>
      <c r="D196" s="113"/>
      <c r="E196" s="113"/>
      <c r="F196" s="121">
        <v>0.33</v>
      </c>
      <c r="G196" s="122">
        <v>0.28999999999999998</v>
      </c>
      <c r="H196" s="122">
        <v>0.22</v>
      </c>
      <c r="I196" s="123">
        <v>0.17</v>
      </c>
      <c r="J196" s="110"/>
      <c r="K196" s="56"/>
      <c r="L196" s="56"/>
      <c r="M196" s="56"/>
    </row>
    <row r="197" spans="2:13" ht="147" customHeight="1" x14ac:dyDescent="0.35">
      <c r="B197" s="37" t="s">
        <v>148</v>
      </c>
      <c r="C197" s="37"/>
      <c r="F197" s="27"/>
      <c r="G197" s="27"/>
      <c r="H197" s="27"/>
      <c r="I197" s="27"/>
    </row>
    <row r="198" spans="2:13" x14ac:dyDescent="0.35">
      <c r="F198" s="27"/>
      <c r="G198" s="27"/>
      <c r="H198" s="27"/>
      <c r="I198" s="27"/>
    </row>
    <row r="199" spans="2:13" x14ac:dyDescent="0.35">
      <c r="B199" s="111" t="s">
        <v>152</v>
      </c>
      <c r="C199" s="113"/>
      <c r="D199" s="113"/>
      <c r="E199" s="113"/>
      <c r="F199" s="122">
        <v>0.36</v>
      </c>
      <c r="G199" s="122">
        <v>0.36</v>
      </c>
      <c r="H199" s="122">
        <v>0.36</v>
      </c>
      <c r="I199" s="123">
        <v>0.36</v>
      </c>
      <c r="J199" s="56"/>
      <c r="K199" s="56"/>
      <c r="L199" s="56"/>
      <c r="M199" s="56"/>
    </row>
    <row r="200" spans="2:13" ht="72" customHeight="1" x14ac:dyDescent="0.35">
      <c r="B200" s="37" t="s">
        <v>153</v>
      </c>
      <c r="F200" s="27"/>
      <c r="G200" s="27"/>
      <c r="H200" s="27"/>
      <c r="I200" s="27"/>
    </row>
    <row r="201" spans="2:13" x14ac:dyDescent="0.35">
      <c r="F201" s="27"/>
      <c r="G201" s="27"/>
      <c r="H201" s="27"/>
      <c r="I201" s="27"/>
    </row>
    <row r="202" spans="2:13" x14ac:dyDescent="0.35">
      <c r="B202" s="111" t="s">
        <v>155</v>
      </c>
      <c r="C202" s="113"/>
      <c r="D202" s="113"/>
      <c r="E202" s="113"/>
      <c r="F202" s="122">
        <v>0.15</v>
      </c>
      <c r="G202" s="122">
        <v>0.14499999999999999</v>
      </c>
      <c r="H202" s="122">
        <v>0.14000000000000001</v>
      </c>
      <c r="I202" s="123">
        <v>0.13500000000000001</v>
      </c>
    </row>
    <row r="203" spans="2:13" ht="60" customHeight="1" x14ac:dyDescent="0.35">
      <c r="B203" s="37" t="s">
        <v>154</v>
      </c>
      <c r="F203" s="27"/>
      <c r="G203" s="27"/>
      <c r="H203" s="27"/>
      <c r="I203" s="27"/>
    </row>
    <row r="204" spans="2:13" x14ac:dyDescent="0.35">
      <c r="F204" s="27"/>
      <c r="G204" s="27"/>
      <c r="H204" s="27"/>
      <c r="I204" s="27"/>
    </row>
    <row r="205" spans="2:13" x14ac:dyDescent="0.35">
      <c r="B205" s="111" t="s">
        <v>156</v>
      </c>
      <c r="C205" s="114" t="s">
        <v>157</v>
      </c>
      <c r="F205" s="27"/>
      <c r="G205" s="27"/>
      <c r="H205" s="27"/>
      <c r="I205" s="27"/>
    </row>
    <row r="206" spans="2:13" x14ac:dyDescent="0.35">
      <c r="F206" s="27"/>
      <c r="G206" s="27"/>
      <c r="H206" s="27"/>
      <c r="I206" s="27"/>
    </row>
    <row r="207" spans="2:13" x14ac:dyDescent="0.35">
      <c r="B207" s="111" t="s">
        <v>158</v>
      </c>
      <c r="C207" s="113"/>
      <c r="D207" s="113"/>
      <c r="E207" s="113"/>
      <c r="F207" s="122">
        <v>5.0000000000000001E-3</v>
      </c>
      <c r="G207" s="122">
        <v>5.0000000000000001E-3</v>
      </c>
      <c r="H207" s="122">
        <v>5.0000000000000001E-3</v>
      </c>
      <c r="I207" s="123">
        <v>5.0000000000000001E-3</v>
      </c>
    </row>
    <row r="208" spans="2:13" x14ac:dyDescent="0.35">
      <c r="F208" s="27"/>
      <c r="G208" s="27"/>
      <c r="H208" s="27"/>
      <c r="I208" s="27"/>
    </row>
    <row r="209" spans="2:9" x14ac:dyDescent="0.35">
      <c r="B209" s="34" t="s">
        <v>159</v>
      </c>
      <c r="F209" s="27"/>
      <c r="G209" s="27"/>
      <c r="H209" s="27"/>
      <c r="I209" s="27"/>
    </row>
    <row r="210" spans="2:9" x14ac:dyDescent="0.35">
      <c r="B210" s="116" t="s">
        <v>17</v>
      </c>
      <c r="C210" s="1" t="s">
        <v>160</v>
      </c>
      <c r="F210" s="27"/>
      <c r="G210" s="27"/>
      <c r="H210" s="27"/>
      <c r="I210" s="27"/>
    </row>
    <row r="211" spans="2:9" x14ac:dyDescent="0.35">
      <c r="B211" s="116" t="s">
        <v>18</v>
      </c>
      <c r="C211" s="1" t="s">
        <v>160</v>
      </c>
      <c r="F211" s="27"/>
      <c r="G211" s="27"/>
      <c r="H211" s="27"/>
      <c r="I211" s="27"/>
    </row>
    <row r="212" spans="2:9" x14ac:dyDescent="0.35">
      <c r="F212" s="27"/>
      <c r="G212" s="27"/>
      <c r="H212" s="27"/>
      <c r="I212" s="27"/>
    </row>
    <row r="213" spans="2:9" x14ac:dyDescent="0.35">
      <c r="B213" s="111" t="s">
        <v>161</v>
      </c>
      <c r="C213" s="117"/>
      <c r="D213" s="113"/>
      <c r="E213" s="113"/>
      <c r="F213" s="124">
        <v>0.23499999999999999</v>
      </c>
      <c r="G213" s="124">
        <v>0.23499999999999999</v>
      </c>
      <c r="H213" s="124">
        <v>0.23499999999999999</v>
      </c>
      <c r="I213" s="125">
        <v>0.23499999999999999</v>
      </c>
    </row>
    <row r="216" spans="2:9" x14ac:dyDescent="0.35">
      <c r="B216" s="6" t="s">
        <v>174</v>
      </c>
      <c r="C216" s="7"/>
      <c r="D216" s="7"/>
      <c r="E216" s="7"/>
      <c r="F216" s="73"/>
      <c r="G216" s="73"/>
      <c r="H216" s="73"/>
      <c r="I216" s="73"/>
    </row>
    <row r="217" spans="2:9" x14ac:dyDescent="0.35">
      <c r="B217" s="2"/>
    </row>
    <row r="218" spans="2:9" ht="15" thickBot="1" x14ac:dyDescent="0.4">
      <c r="B218" s="9" t="s">
        <v>175</v>
      </c>
    </row>
    <row r="219" spans="2:9" x14ac:dyDescent="0.35">
      <c r="B219" s="1" t="s">
        <v>176</v>
      </c>
      <c r="F219" s="78">
        <f>E222</f>
        <v>921.8</v>
      </c>
      <c r="G219" s="78">
        <f>F222</f>
        <v>1259.731845</v>
      </c>
      <c r="H219" s="78">
        <f>G222</f>
        <v>1597.31525115</v>
      </c>
      <c r="I219" s="78">
        <f>H222</f>
        <v>1893.0368660925001</v>
      </c>
    </row>
    <row r="220" spans="2:9" x14ac:dyDescent="0.35">
      <c r="B220" s="1" t="s">
        <v>177</v>
      </c>
      <c r="E220" s="13"/>
      <c r="F220" s="78">
        <f>F225*F16</f>
        <v>476.20184500000005</v>
      </c>
      <c r="G220" s="78">
        <f>G225*G16</f>
        <v>526.54318289999992</v>
      </c>
      <c r="H220" s="78">
        <f>H225*H16</f>
        <v>535.31890261499996</v>
      </c>
      <c r="I220" s="78">
        <f>I225*I16</f>
        <v>501.05849284763997</v>
      </c>
    </row>
    <row r="221" spans="2:9" x14ac:dyDescent="0.35">
      <c r="B221" s="1" t="s">
        <v>74</v>
      </c>
      <c r="E221" s="24"/>
      <c r="F221" s="140">
        <f>-F228*E222</f>
        <v>-138.26999999999998</v>
      </c>
      <c r="G221" s="140">
        <f t="shared" ref="G221:I221" si="74">-G228*F222</f>
        <v>-188.95977675</v>
      </c>
      <c r="H221" s="140">
        <f t="shared" si="74"/>
        <v>-239.59728767249999</v>
      </c>
      <c r="I221" s="140">
        <f t="shared" si="74"/>
        <v>-283.95552991387501</v>
      </c>
    </row>
    <row r="222" spans="2:9" x14ac:dyDescent="0.35">
      <c r="B222" s="97" t="s">
        <v>178</v>
      </c>
      <c r="C222" s="141"/>
      <c r="D222" s="141"/>
      <c r="E222" s="98">
        <f>E54</f>
        <v>921.8</v>
      </c>
      <c r="F222" s="126">
        <f>SUM(F219:F221)</f>
        <v>1259.731845</v>
      </c>
      <c r="G222" s="126">
        <f>SUM(G219:G221)</f>
        <v>1597.31525115</v>
      </c>
      <c r="H222" s="126">
        <f>SUM(H219:H221)</f>
        <v>1893.0368660925001</v>
      </c>
      <c r="I222" s="126">
        <f>SUM(I219:I221)</f>
        <v>2110.139829026265</v>
      </c>
    </row>
    <row r="224" spans="2:9" x14ac:dyDescent="0.35">
      <c r="B224" s="12" t="s">
        <v>186</v>
      </c>
    </row>
    <row r="225" spans="2:9" x14ac:dyDescent="0.35">
      <c r="B225" s="34" t="s">
        <v>187</v>
      </c>
      <c r="F225" s="120">
        <v>3.5000000000000003E-2</v>
      </c>
      <c r="G225" s="120">
        <v>0.03</v>
      </c>
      <c r="H225" s="120">
        <v>2.5000000000000001E-2</v>
      </c>
      <c r="I225" s="120">
        <v>0.02</v>
      </c>
    </row>
    <row r="226" spans="2:9" ht="58" customHeight="1" x14ac:dyDescent="0.35">
      <c r="B226" s="70" t="s">
        <v>188</v>
      </c>
      <c r="F226" s="27"/>
      <c r="G226" s="27"/>
      <c r="H226" s="27"/>
      <c r="I226" s="27"/>
    </row>
    <row r="227" spans="2:9" x14ac:dyDescent="0.35">
      <c r="F227" s="27"/>
      <c r="G227" s="27"/>
      <c r="H227" s="27"/>
      <c r="I227" s="27"/>
    </row>
    <row r="228" spans="2:9" x14ac:dyDescent="0.35">
      <c r="B228" s="34" t="s">
        <v>189</v>
      </c>
      <c r="F228" s="120">
        <v>0.15</v>
      </c>
      <c r="G228" s="120">
        <v>0.15</v>
      </c>
      <c r="H228" s="120">
        <v>0.15</v>
      </c>
      <c r="I228" s="120">
        <v>0.15</v>
      </c>
    </row>
    <row r="229" spans="2:9" ht="31" customHeight="1" x14ac:dyDescent="0.35">
      <c r="B229" s="70" t="s">
        <v>195</v>
      </c>
    </row>
    <row r="232" spans="2:9" ht="15" thickBot="1" x14ac:dyDescent="0.4">
      <c r="B232" s="9" t="s">
        <v>206</v>
      </c>
    </row>
    <row r="233" spans="2:9" x14ac:dyDescent="0.35">
      <c r="B233" s="1" t="s">
        <v>196</v>
      </c>
      <c r="E233" s="24"/>
      <c r="F233" s="78">
        <f>E236</f>
        <v>1894.8</v>
      </c>
      <c r="G233" s="78">
        <f t="shared" ref="G233:I233" si="75">F236</f>
        <v>1674.2</v>
      </c>
      <c r="H233" s="78">
        <f t="shared" si="75"/>
        <v>1455.7</v>
      </c>
      <c r="I233" s="78">
        <f t="shared" si="75"/>
        <v>1249.6000000000001</v>
      </c>
    </row>
    <row r="234" spans="2:9" x14ac:dyDescent="0.35">
      <c r="B234" s="1" t="s">
        <v>197</v>
      </c>
      <c r="E234" s="24"/>
      <c r="F234" s="140">
        <f>-F26</f>
        <v>-277.89999999999998</v>
      </c>
      <c r="G234" s="140">
        <f>-G26</f>
        <v>-218.5</v>
      </c>
      <c r="H234" s="140">
        <f>-H26</f>
        <v>-206.1</v>
      </c>
      <c r="I234" s="140">
        <f>-I26</f>
        <v>-154.69999999999999</v>
      </c>
    </row>
    <row r="235" spans="2:9" x14ac:dyDescent="0.35">
      <c r="B235" s="1" t="s">
        <v>202</v>
      </c>
      <c r="E235" s="24"/>
      <c r="F235" s="78">
        <f>'Assumptions - Detailed'!G38</f>
        <v>57.300000000000011</v>
      </c>
      <c r="G235" s="78">
        <v>0</v>
      </c>
      <c r="H235" s="78">
        <v>0</v>
      </c>
      <c r="I235" s="78">
        <v>0</v>
      </c>
    </row>
    <row r="236" spans="2:9" x14ac:dyDescent="0.35">
      <c r="B236" s="97" t="s">
        <v>198</v>
      </c>
      <c r="C236" s="141"/>
      <c r="D236" s="141"/>
      <c r="E236" s="142">
        <f>E58</f>
        <v>1894.8</v>
      </c>
      <c r="F236" s="126">
        <f>SUM(F233:F235)</f>
        <v>1674.2</v>
      </c>
      <c r="G236" s="126">
        <f t="shared" ref="G236:I236" si="76">SUM(G233:G235)</f>
        <v>1455.7</v>
      </c>
      <c r="H236" s="126">
        <f t="shared" si="76"/>
        <v>1249.6000000000001</v>
      </c>
      <c r="I236" s="126">
        <f t="shared" si="76"/>
        <v>1094.9000000000001</v>
      </c>
    </row>
    <row r="237" spans="2:9" x14ac:dyDescent="0.35">
      <c r="B237" s="2"/>
      <c r="F237" s="72"/>
      <c r="G237" s="72"/>
      <c r="H237" s="72"/>
      <c r="I237" s="72"/>
    </row>
    <row r="238" spans="2:9" x14ac:dyDescent="0.35">
      <c r="B238" s="97" t="s">
        <v>207</v>
      </c>
      <c r="C238" s="97"/>
      <c r="D238" s="97"/>
      <c r="E238" s="98">
        <f>E57</f>
        <v>2033.7</v>
      </c>
      <c r="F238" s="126">
        <v>2283.3000000000002</v>
      </c>
      <c r="G238" s="126">
        <f>F238</f>
        <v>2283.3000000000002</v>
      </c>
      <c r="H238" s="126">
        <f t="shared" ref="H238:I238" si="77">G238</f>
        <v>2283.3000000000002</v>
      </c>
      <c r="I238" s="126">
        <f t="shared" si="77"/>
        <v>2283.3000000000002</v>
      </c>
    </row>
    <row r="239" spans="2:9" x14ac:dyDescent="0.35">
      <c r="B239" s="2"/>
      <c r="C239" s="2"/>
      <c r="D239" s="2"/>
      <c r="E239" s="21"/>
      <c r="F239" s="30"/>
      <c r="G239" s="30"/>
      <c r="H239" s="30"/>
      <c r="I239" s="30"/>
    </row>
    <row r="241" spans="2:9" ht="15" thickBot="1" x14ac:dyDescent="0.4">
      <c r="B241" s="9" t="s">
        <v>208</v>
      </c>
    </row>
    <row r="242" spans="2:9" x14ac:dyDescent="0.35">
      <c r="B242" s="1" t="s">
        <v>209</v>
      </c>
      <c r="F242" s="78">
        <f>E244</f>
        <v>2913</v>
      </c>
      <c r="G242" s="78">
        <f t="shared" ref="G242:I242" si="78">F244</f>
        <v>2892.1</v>
      </c>
      <c r="H242" s="78">
        <f t="shared" si="78"/>
        <v>2871.2</v>
      </c>
      <c r="I242" s="78">
        <f t="shared" si="78"/>
        <v>2850.2999999999997</v>
      </c>
    </row>
    <row r="243" spans="2:9" x14ac:dyDescent="0.35">
      <c r="B243" s="1" t="s">
        <v>210</v>
      </c>
      <c r="F243" s="140">
        <f>-'Assumptions - Detailed'!$B$39</f>
        <v>-20.9</v>
      </c>
      <c r="G243" s="140">
        <f>-'Assumptions - Detailed'!$B$39</f>
        <v>-20.9</v>
      </c>
      <c r="H243" s="140">
        <f>-'Assumptions - Detailed'!$B$39</f>
        <v>-20.9</v>
      </c>
      <c r="I243" s="140">
        <f>-'Assumptions - Detailed'!$B$39</f>
        <v>-20.9</v>
      </c>
    </row>
    <row r="244" spans="2:9" s="2" customFormat="1" x14ac:dyDescent="0.35">
      <c r="B244" s="97" t="s">
        <v>211</v>
      </c>
      <c r="C244" s="97"/>
      <c r="D244" s="97"/>
      <c r="E244" s="127">
        <f>E70+E78</f>
        <v>2913</v>
      </c>
      <c r="F244" s="126">
        <f>SUM(F242:F243)</f>
        <v>2892.1</v>
      </c>
      <c r="G244" s="126">
        <f t="shared" ref="G244:I244" si="79">SUM(G242:G243)</f>
        <v>2871.2</v>
      </c>
      <c r="H244" s="126">
        <f t="shared" si="79"/>
        <v>2850.2999999999997</v>
      </c>
      <c r="I244" s="126">
        <f t="shared" si="79"/>
        <v>2829.3999999999996</v>
      </c>
    </row>
    <row r="245" spans="2:9" x14ac:dyDescent="0.35">
      <c r="B245" s="1" t="s">
        <v>212</v>
      </c>
      <c r="F245" s="78">
        <f>'Assumptions - Detailed'!$F$62</f>
        <v>5.2019124613800205E-2</v>
      </c>
      <c r="G245" s="78">
        <f>'Assumptions - Detailed'!$F$62</f>
        <v>5.2019124613800205E-2</v>
      </c>
      <c r="H245" s="78">
        <f>'Assumptions - Detailed'!$F$62</f>
        <v>5.2019124613800205E-2</v>
      </c>
      <c r="I245" s="78">
        <f>'Assumptions - Detailed'!$F$62</f>
        <v>5.2019124613800205E-2</v>
      </c>
    </row>
    <row r="246" spans="2:9" x14ac:dyDescent="0.35">
      <c r="B246" s="97" t="s">
        <v>213</v>
      </c>
      <c r="C246" s="97"/>
      <c r="D246" s="97"/>
      <c r="E246" s="97"/>
      <c r="F246" s="126">
        <f>F245*((F244+E244)/2)</f>
        <v>150.98811014778579</v>
      </c>
      <c r="G246" s="126">
        <f t="shared" ref="G246:I246" si="80">G245*((G244+F244)/2)</f>
        <v>149.90091044335733</v>
      </c>
      <c r="H246" s="126">
        <f t="shared" si="80"/>
        <v>148.81371073892893</v>
      </c>
      <c r="I246" s="126">
        <f t="shared" si="80"/>
        <v>147.72651103450048</v>
      </c>
    </row>
    <row r="248" spans="2:9" ht="29.5" customHeight="1" x14ac:dyDescent="0.35">
      <c r="B248" s="37" t="s">
        <v>214</v>
      </c>
    </row>
    <row r="250" spans="2:9" ht="74.5" customHeight="1" x14ac:dyDescent="0.35">
      <c r="B250" s="37" t="s">
        <v>223</v>
      </c>
    </row>
    <row r="253" spans="2:9" x14ac:dyDescent="0.35">
      <c r="B253" s="6" t="s">
        <v>224</v>
      </c>
      <c r="C253" s="7"/>
      <c r="D253" s="7"/>
      <c r="E253" s="7"/>
      <c r="F253" s="73"/>
      <c r="G253" s="73"/>
      <c r="H253" s="73"/>
      <c r="I253" s="73"/>
    </row>
    <row r="254" spans="2:9" x14ac:dyDescent="0.35">
      <c r="B254" s="2"/>
    </row>
    <row r="255" spans="2:9" x14ac:dyDescent="0.35">
      <c r="B255" s="2"/>
    </row>
    <row r="256" spans="2:9" x14ac:dyDescent="0.35">
      <c r="B256" s="37" t="s">
        <v>231</v>
      </c>
      <c r="E256" s="13">
        <f>E48</f>
        <v>3109</v>
      </c>
      <c r="F256" s="78">
        <f>(F271*F16)/365</f>
        <v>4100.3681369863007</v>
      </c>
      <c r="G256" s="78">
        <f>(G271*G16)/365</f>
        <v>5289.4748967123278</v>
      </c>
      <c r="H256" s="78">
        <f>(H271*H16)/365</f>
        <v>6453.1593739890404</v>
      </c>
      <c r="I256" s="78">
        <f>(I271*I16)/365</f>
        <v>7550.1964675671761</v>
      </c>
    </row>
    <row r="257" spans="2:9" x14ac:dyDescent="0.35">
      <c r="B257" s="37" t="s">
        <v>34</v>
      </c>
      <c r="E257" s="13">
        <f>E49</f>
        <v>1456.5</v>
      </c>
      <c r="F257" s="78">
        <f>(F21*F273)/365</f>
        <v>2385.6687342465752</v>
      </c>
      <c r="G257" s="78">
        <f>(G21*G273)/365</f>
        <v>2769.7614004602738</v>
      </c>
      <c r="H257" s="78">
        <f>(H21*H273)/365</f>
        <v>3191.3806358636707</v>
      </c>
      <c r="I257" s="78">
        <f>(I21*I273)/365</f>
        <v>3514.2732649039954</v>
      </c>
    </row>
    <row r="258" spans="2:9" x14ac:dyDescent="0.35">
      <c r="B258" s="37" t="s">
        <v>35</v>
      </c>
      <c r="E258" s="13">
        <f>E50</f>
        <v>426.1</v>
      </c>
      <c r="F258" s="128">
        <f>F16*F277</f>
        <v>530.62491299999999</v>
      </c>
      <c r="G258" s="128">
        <f>G16*G277</f>
        <v>684.5061377699999</v>
      </c>
      <c r="H258" s="128">
        <f>H16*H277</f>
        <v>835.09748807939991</v>
      </c>
      <c r="I258" s="128">
        <f>I16*I277</f>
        <v>977.06406105289784</v>
      </c>
    </row>
    <row r="259" spans="2:9" x14ac:dyDescent="0.35">
      <c r="B259" s="97" t="s">
        <v>36</v>
      </c>
      <c r="C259" s="141"/>
      <c r="D259" s="141"/>
      <c r="E259" s="146">
        <f>SUM(E256:E258)</f>
        <v>4991.6000000000004</v>
      </c>
      <c r="F259" s="126">
        <f>SUM(F256:F258)</f>
        <v>7016.661784232876</v>
      </c>
      <c r="G259" s="126">
        <f t="shared" ref="G259:I259" si="81">SUM(G256:G258)</f>
        <v>8743.7424349426019</v>
      </c>
      <c r="H259" s="126">
        <f t="shared" si="81"/>
        <v>10479.637497932112</v>
      </c>
      <c r="I259" s="126">
        <f t="shared" si="81"/>
        <v>12041.533793524068</v>
      </c>
    </row>
    <row r="260" spans="2:9" x14ac:dyDescent="0.35">
      <c r="F260" s="72"/>
      <c r="G260" s="72"/>
      <c r="H260" s="72"/>
      <c r="I260" s="72"/>
    </row>
    <row r="261" spans="2:9" x14ac:dyDescent="0.35">
      <c r="B261" s="4" t="s">
        <v>51</v>
      </c>
      <c r="E261" s="13">
        <f>E71</f>
        <v>1756.4</v>
      </c>
      <c r="F261" s="128">
        <f>(F280*F21)/365</f>
        <v>2528.80885830137</v>
      </c>
      <c r="G261" s="128">
        <f>(G280*G21)/365</f>
        <v>3139.0629205216437</v>
      </c>
      <c r="H261" s="128">
        <f>(H280*H21)/365</f>
        <v>3754.5654539572597</v>
      </c>
      <c r="I261" s="128">
        <f>(I280*I21)/365</f>
        <v>4304.9847495073946</v>
      </c>
    </row>
    <row r="262" spans="2:9" x14ac:dyDescent="0.35">
      <c r="B262" s="4" t="s">
        <v>52</v>
      </c>
      <c r="E262" s="13">
        <f>E72</f>
        <v>1814.7</v>
      </c>
      <c r="F262" s="128">
        <f>F282*F16</f>
        <v>3265.3840799999998</v>
      </c>
      <c r="G262" s="128">
        <f>G282*G16</f>
        <v>3685.8022802999994</v>
      </c>
      <c r="H262" s="128">
        <f>H282*H16</f>
        <v>4068.4236598739994</v>
      </c>
      <c r="I262" s="128">
        <f>I282*I16</f>
        <v>4509.5264356287589</v>
      </c>
    </row>
    <row r="263" spans="2:9" x14ac:dyDescent="0.35">
      <c r="B263" s="4" t="s">
        <v>53</v>
      </c>
      <c r="E263" s="13">
        <f>E73</f>
        <v>771.6</v>
      </c>
      <c r="F263" s="128">
        <f>F286*F16</f>
        <v>1020.4325249999999</v>
      </c>
      <c r="G263" s="128">
        <f>G286*G16</f>
        <v>1316.3579572499998</v>
      </c>
      <c r="H263" s="128">
        <f>H286*H16</f>
        <v>1605.9567078449998</v>
      </c>
      <c r="I263" s="128">
        <f>I286*I16</f>
        <v>1878.9693481786496</v>
      </c>
    </row>
    <row r="264" spans="2:9" x14ac:dyDescent="0.35">
      <c r="B264" s="4" t="s">
        <v>241</v>
      </c>
      <c r="E264" s="143">
        <f>E74</f>
        <v>43.4</v>
      </c>
      <c r="F264" s="144">
        <v>43.4</v>
      </c>
      <c r="G264" s="144">
        <v>43.4</v>
      </c>
      <c r="H264" s="144">
        <v>43.4</v>
      </c>
      <c r="I264" s="144">
        <v>43.4</v>
      </c>
    </row>
    <row r="265" spans="2:9" x14ac:dyDescent="0.35">
      <c r="B265" s="97" t="s">
        <v>225</v>
      </c>
      <c r="C265" s="141"/>
      <c r="D265" s="141"/>
      <c r="E265" s="146">
        <f>SUM(E261:E264)</f>
        <v>4386.1000000000004</v>
      </c>
      <c r="F265" s="126">
        <f t="shared" ref="F265:I265" si="82">SUM(F261:F264)</f>
        <v>6858.0254633013701</v>
      </c>
      <c r="G265" s="126">
        <f t="shared" si="82"/>
        <v>8184.623158071643</v>
      </c>
      <c r="H265" s="126">
        <f t="shared" si="82"/>
        <v>9472.3458216762592</v>
      </c>
      <c r="I265" s="126">
        <f t="shared" si="82"/>
        <v>10736.880533314803</v>
      </c>
    </row>
    <row r="266" spans="2:9" x14ac:dyDescent="0.35">
      <c r="F266" s="72"/>
      <c r="G266" s="72"/>
      <c r="H266" s="72"/>
      <c r="I266" s="72"/>
    </row>
    <row r="267" spans="2:9" x14ac:dyDescent="0.35">
      <c r="B267" s="2" t="s">
        <v>226</v>
      </c>
      <c r="E267" s="145">
        <f>E259-E265</f>
        <v>605.5</v>
      </c>
      <c r="F267" s="72">
        <f>F259-F265</f>
        <v>158.63632093150591</v>
      </c>
      <c r="G267" s="72">
        <f>G259-G265</f>
        <v>559.11927687095886</v>
      </c>
      <c r="H267" s="72">
        <f>H259-H265</f>
        <v>1007.2916762558525</v>
      </c>
      <c r="I267" s="72">
        <f>I259-I265</f>
        <v>1304.6532602092648</v>
      </c>
    </row>
    <row r="268" spans="2:9" s="2" customFormat="1" x14ac:dyDescent="0.35">
      <c r="B268" s="97" t="s">
        <v>227</v>
      </c>
      <c r="C268" s="97"/>
      <c r="D268" s="97"/>
      <c r="E268" s="97"/>
      <c r="F268" s="153">
        <f>F267-E267</f>
        <v>-446.86367906849409</v>
      </c>
      <c r="G268" s="142">
        <f t="shared" ref="G268:I268" si="83">G267-F267</f>
        <v>400.48295593945295</v>
      </c>
      <c r="H268" s="142">
        <f t="shared" si="83"/>
        <v>448.17239938489365</v>
      </c>
      <c r="I268" s="142">
        <f t="shared" si="83"/>
        <v>297.36158395341226</v>
      </c>
    </row>
    <row r="270" spans="2:9" x14ac:dyDescent="0.35">
      <c r="B270" s="12" t="s">
        <v>228</v>
      </c>
    </row>
    <row r="271" spans="2:9" x14ac:dyDescent="0.35">
      <c r="B271" s="2" t="s">
        <v>230</v>
      </c>
      <c r="F271" s="76">
        <v>110</v>
      </c>
      <c r="G271" s="76">
        <v>110</v>
      </c>
      <c r="H271" s="76">
        <v>110</v>
      </c>
      <c r="I271" s="76">
        <v>110</v>
      </c>
    </row>
    <row r="272" spans="2:9" ht="46.5" customHeight="1" x14ac:dyDescent="0.35">
      <c r="B272" s="37" t="s">
        <v>229</v>
      </c>
    </row>
    <row r="273" spans="2:9" x14ac:dyDescent="0.35">
      <c r="F273" s="76">
        <v>100</v>
      </c>
      <c r="G273" s="76">
        <v>90</v>
      </c>
      <c r="H273" s="76">
        <v>85</v>
      </c>
      <c r="I273" s="76">
        <v>80</v>
      </c>
    </row>
    <row r="274" spans="2:9" x14ac:dyDescent="0.35">
      <c r="B274" s="2" t="s">
        <v>127</v>
      </c>
    </row>
    <row r="275" spans="2:9" ht="72" customHeight="1" x14ac:dyDescent="0.35">
      <c r="B275" s="37" t="s">
        <v>242</v>
      </c>
    </row>
    <row r="277" spans="2:9" x14ac:dyDescent="0.35">
      <c r="B277" s="2" t="s">
        <v>233</v>
      </c>
      <c r="F277" s="129">
        <v>3.9E-2</v>
      </c>
      <c r="G277" s="129">
        <v>3.9E-2</v>
      </c>
      <c r="H277" s="129">
        <v>3.9E-2</v>
      </c>
      <c r="I277" s="129">
        <v>3.9E-2</v>
      </c>
    </row>
    <row r="278" spans="2:9" ht="46" customHeight="1" x14ac:dyDescent="0.35">
      <c r="B278" s="37" t="s">
        <v>232</v>
      </c>
    </row>
    <row r="280" spans="2:9" x14ac:dyDescent="0.35">
      <c r="B280" s="2" t="s">
        <v>236</v>
      </c>
      <c r="F280" s="76">
        <v>106</v>
      </c>
      <c r="G280" s="76">
        <v>102</v>
      </c>
      <c r="H280" s="76">
        <v>100</v>
      </c>
      <c r="I280" s="76">
        <v>98</v>
      </c>
    </row>
    <row r="281" spans="2:9" ht="75" customHeight="1" x14ac:dyDescent="0.35">
      <c r="B281" s="37" t="s">
        <v>237</v>
      </c>
    </row>
    <row r="282" spans="2:9" x14ac:dyDescent="0.35">
      <c r="F282" s="129">
        <v>0.24</v>
      </c>
      <c r="G282" s="129">
        <v>0.21</v>
      </c>
      <c r="H282" s="129">
        <v>0.19</v>
      </c>
      <c r="I282" s="129">
        <v>0.18</v>
      </c>
    </row>
    <row r="283" spans="2:9" x14ac:dyDescent="0.35">
      <c r="B283" s="2" t="s">
        <v>238</v>
      </c>
    </row>
    <row r="284" spans="2:9" ht="72.5" customHeight="1" x14ac:dyDescent="0.35">
      <c r="B284" s="37" t="s">
        <v>243</v>
      </c>
    </row>
    <row r="286" spans="2:9" x14ac:dyDescent="0.35">
      <c r="B286" s="2" t="s">
        <v>240</v>
      </c>
      <c r="F286" s="129">
        <v>7.4999999999999997E-2</v>
      </c>
      <c r="G286" s="129">
        <v>7.4999999999999997E-2</v>
      </c>
      <c r="H286" s="129">
        <v>7.4999999999999997E-2</v>
      </c>
      <c r="I286" s="129">
        <v>7.4999999999999997E-2</v>
      </c>
    </row>
    <row r="287" spans="2:9" ht="63.5" customHeight="1" x14ac:dyDescent="0.35">
      <c r="B287" s="37" t="s">
        <v>239</v>
      </c>
    </row>
  </sheetData>
  <mergeCells count="1">
    <mergeCell ref="B5:C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75D5C-7F30-470B-BE9D-D8554A93A7C4}">
  <dimension ref="A2:I71"/>
  <sheetViews>
    <sheetView topLeftCell="A42" workbookViewId="0">
      <selection activeCell="C31" sqref="C31"/>
    </sheetView>
  </sheetViews>
  <sheetFormatPr defaultRowHeight="14.5" x14ac:dyDescent="0.35"/>
  <cols>
    <col min="1" max="1" width="18.54296875" customWidth="1"/>
    <col min="6" max="6" width="15.36328125" customWidth="1"/>
    <col min="9" max="9" width="20.08984375" bestFit="1" customWidth="1"/>
  </cols>
  <sheetData>
    <row r="2" spans="1:5" x14ac:dyDescent="0.35">
      <c r="A2" t="s">
        <v>137</v>
      </c>
    </row>
    <row r="4" spans="1:5" x14ac:dyDescent="0.35">
      <c r="A4" s="29" t="s">
        <v>138</v>
      </c>
    </row>
    <row r="6" spans="1:5" x14ac:dyDescent="0.35">
      <c r="A6" s="29" t="s">
        <v>139</v>
      </c>
    </row>
    <row r="7" spans="1:5" x14ac:dyDescent="0.35">
      <c r="A7" s="29" t="s">
        <v>140</v>
      </c>
    </row>
    <row r="8" spans="1:5" x14ac:dyDescent="0.35">
      <c r="A8" s="29" t="s">
        <v>141</v>
      </c>
    </row>
    <row r="9" spans="1:5" x14ac:dyDescent="0.35">
      <c r="A9" s="29" t="s">
        <v>142</v>
      </c>
    </row>
    <row r="10" spans="1:5" x14ac:dyDescent="0.35">
      <c r="A10" s="29" t="s">
        <v>143</v>
      </c>
    </row>
    <row r="11" spans="1:5" x14ac:dyDescent="0.35">
      <c r="A11" s="29" t="s">
        <v>144</v>
      </c>
    </row>
    <row r="12" spans="1:5" x14ac:dyDescent="0.35">
      <c r="A12" s="29" t="s">
        <v>145</v>
      </c>
    </row>
    <row r="14" spans="1:5" x14ac:dyDescent="0.35">
      <c r="A14" s="29" t="s">
        <v>149</v>
      </c>
    </row>
    <row r="15" spans="1:5" x14ac:dyDescent="0.35">
      <c r="B15">
        <v>2026</v>
      </c>
      <c r="C15">
        <v>2025</v>
      </c>
      <c r="D15">
        <v>2024</v>
      </c>
    </row>
    <row r="16" spans="1:5" x14ac:dyDescent="0.35">
      <c r="A16" s="29" t="s">
        <v>1</v>
      </c>
      <c r="B16" s="36">
        <v>5923.8</v>
      </c>
      <c r="C16" s="36">
        <v>4674.1000000000004</v>
      </c>
      <c r="D16" s="36">
        <v>3591.9</v>
      </c>
      <c r="E16" s="38">
        <f>((B16/D16)^(1/2))-1</f>
        <v>0.28421599590150359</v>
      </c>
    </row>
    <row r="17" spans="1:5" x14ac:dyDescent="0.35">
      <c r="A17" s="29" t="s">
        <v>150</v>
      </c>
      <c r="B17" s="36">
        <v>3689.2</v>
      </c>
      <c r="C17" s="36">
        <v>3091</v>
      </c>
      <c r="D17" s="36">
        <v>2284.3000000000002</v>
      </c>
      <c r="E17" s="38">
        <f>((B17/D17)^(1/2))-1</f>
        <v>0.27083606192275056</v>
      </c>
    </row>
    <row r="18" spans="1:5" x14ac:dyDescent="0.35">
      <c r="A18" s="29" t="s">
        <v>151</v>
      </c>
      <c r="B18" s="27">
        <f>(B16-B17)/B16</f>
        <v>0.37722407913839096</v>
      </c>
      <c r="C18" s="27">
        <f>(C16-C17)/C16</f>
        <v>0.33869621959307677</v>
      </c>
      <c r="D18" s="27">
        <f>(D16-D17)/D16</f>
        <v>0.36404131518138028</v>
      </c>
    </row>
    <row r="20" spans="1:5" x14ac:dyDescent="0.35">
      <c r="A20" s="29" t="s">
        <v>179</v>
      </c>
    </row>
    <row r="21" spans="1:5" x14ac:dyDescent="0.35">
      <c r="A21" s="29" t="s">
        <v>180</v>
      </c>
    </row>
    <row r="22" spans="1:5" x14ac:dyDescent="0.35">
      <c r="A22" t="s">
        <v>181</v>
      </c>
      <c r="C22" s="1">
        <f>81.5</f>
        <v>81.5</v>
      </c>
    </row>
    <row r="23" spans="1:5" x14ac:dyDescent="0.35">
      <c r="A23" t="s">
        <v>182</v>
      </c>
      <c r="C23" s="36">
        <v>4674.1000000000004</v>
      </c>
    </row>
    <row r="24" spans="1:5" x14ac:dyDescent="0.35">
      <c r="A24" t="s">
        <v>183</v>
      </c>
      <c r="C24" s="27">
        <f>C22/C23</f>
        <v>1.7436511841851906E-2</v>
      </c>
    </row>
    <row r="25" spans="1:5" x14ac:dyDescent="0.35">
      <c r="A25" t="s">
        <v>184</v>
      </c>
      <c r="C25" s="42">
        <v>2.0299999999999999E-2</v>
      </c>
    </row>
    <row r="26" spans="1:5" x14ac:dyDescent="0.35">
      <c r="A26" t="s">
        <v>185</v>
      </c>
      <c r="C26" s="43">
        <v>0.04</v>
      </c>
    </row>
    <row r="28" spans="1:5" x14ac:dyDescent="0.35">
      <c r="A28" s="29" t="s">
        <v>190</v>
      </c>
    </row>
    <row r="29" spans="1:5" x14ac:dyDescent="0.35">
      <c r="A29" t="s">
        <v>191</v>
      </c>
      <c r="C29">
        <f>66.92*2</f>
        <v>133.84</v>
      </c>
    </row>
    <row r="30" spans="1:5" x14ac:dyDescent="0.35">
      <c r="A30" t="s">
        <v>192</v>
      </c>
      <c r="C30" s="36">
        <f>Model!F219</f>
        <v>921.8</v>
      </c>
    </row>
    <row r="31" spans="1:5" x14ac:dyDescent="0.35">
      <c r="A31" s="29" t="s">
        <v>194</v>
      </c>
      <c r="B31" s="29"/>
      <c r="C31" s="44">
        <f>C29/C30</f>
        <v>0.1451941852896507</v>
      </c>
    </row>
    <row r="32" spans="1:5" x14ac:dyDescent="0.35">
      <c r="A32" t="s">
        <v>193</v>
      </c>
      <c r="C32" s="42">
        <v>0.15049999999999999</v>
      </c>
    </row>
    <row r="34" spans="1:7" x14ac:dyDescent="0.35">
      <c r="A34" s="29" t="s">
        <v>40</v>
      </c>
      <c r="D34" s="2" t="s">
        <v>202</v>
      </c>
    </row>
    <row r="35" spans="1:7" x14ac:dyDescent="0.35">
      <c r="A35" s="13" t="s">
        <v>199</v>
      </c>
      <c r="B35" s="13">
        <v>2033.7</v>
      </c>
      <c r="D35" t="s">
        <v>203</v>
      </c>
      <c r="G35" s="36">
        <v>1894.8</v>
      </c>
    </row>
    <row r="36" spans="1:7" x14ac:dyDescent="0.35">
      <c r="A36" s="36" t="s">
        <v>200</v>
      </c>
      <c r="B36" s="36">
        <v>2283.3000000000002</v>
      </c>
      <c r="D36" t="s">
        <v>204</v>
      </c>
      <c r="G36" s="36">
        <v>1800.8</v>
      </c>
    </row>
    <row r="37" spans="1:7" x14ac:dyDescent="0.35">
      <c r="A37" s="29" t="s">
        <v>201</v>
      </c>
      <c r="B37" s="46">
        <f>B36-B35</f>
        <v>249.60000000000014</v>
      </c>
      <c r="D37" t="s">
        <v>205</v>
      </c>
      <c r="G37">
        <v>151.30000000000001</v>
      </c>
    </row>
    <row r="38" spans="1:7" x14ac:dyDescent="0.35">
      <c r="G38" s="46">
        <f>G36-G35+G37</f>
        <v>57.300000000000011</v>
      </c>
    </row>
    <row r="39" spans="1:7" x14ac:dyDescent="0.35">
      <c r="A39" s="29" t="s">
        <v>210</v>
      </c>
      <c r="B39">
        <v>20.9</v>
      </c>
    </row>
    <row r="46" spans="1:7" x14ac:dyDescent="0.35">
      <c r="A46" t="s">
        <v>214</v>
      </c>
    </row>
    <row r="48" spans="1:7" x14ac:dyDescent="0.35">
      <c r="A48" t="s">
        <v>213</v>
      </c>
    </row>
    <row r="57" spans="1:9" x14ac:dyDescent="0.35">
      <c r="A57" t="s">
        <v>215</v>
      </c>
      <c r="B57" s="48">
        <v>2913</v>
      </c>
      <c r="E57" s="50" t="s">
        <v>218</v>
      </c>
      <c r="F57" s="50" t="s">
        <v>219</v>
      </c>
      <c r="G57" s="50" t="s">
        <v>221</v>
      </c>
    </row>
    <row r="58" spans="1:9" x14ac:dyDescent="0.35">
      <c r="B58" s="36">
        <f>B57+13.1</f>
        <v>2926.1</v>
      </c>
      <c r="D58" t="s">
        <v>216</v>
      </c>
      <c r="E58">
        <v>2076.1</v>
      </c>
      <c r="F58">
        <f>E58*5.61%</f>
        <v>116.46921</v>
      </c>
      <c r="G58" s="38">
        <f>E58/B58</f>
        <v>0.70951095314582546</v>
      </c>
      <c r="H58" s="42">
        <v>5.6099999999999997E-2</v>
      </c>
      <c r="I58" s="42">
        <f>H58*G58</f>
        <v>3.9803564471480805E-2</v>
      </c>
    </row>
    <row r="59" spans="1:9" x14ac:dyDescent="0.35">
      <c r="D59" t="s">
        <v>217</v>
      </c>
      <c r="E59">
        <v>850</v>
      </c>
      <c r="F59">
        <f>E59*4.125%</f>
        <v>35.0625</v>
      </c>
      <c r="G59" s="38">
        <f>E59/B58</f>
        <v>0.29048904685417448</v>
      </c>
      <c r="H59" s="42">
        <v>4.1250000000000002E-2</v>
      </c>
      <c r="I59" s="42">
        <f>H59*G59</f>
        <v>1.1982673182734698E-2</v>
      </c>
    </row>
    <row r="60" spans="1:9" x14ac:dyDescent="0.35">
      <c r="E60" s="29">
        <f>SUM(E58:E59)</f>
        <v>2926.1</v>
      </c>
      <c r="F60" s="29">
        <f>SUM(F58:F59)</f>
        <v>151.53171</v>
      </c>
      <c r="I60" s="51">
        <f>SUM(I58:I59)</f>
        <v>5.17862376542155E-2</v>
      </c>
    </row>
    <row r="62" spans="1:9" x14ac:dyDescent="0.35">
      <c r="D62" t="s">
        <v>220</v>
      </c>
      <c r="F62" s="49">
        <f>F60/B57</f>
        <v>5.2019124613800205E-2</v>
      </c>
    </row>
    <row r="63" spans="1:9" x14ac:dyDescent="0.35">
      <c r="A63" t="s">
        <v>222</v>
      </c>
    </row>
    <row r="66" spans="1:3" x14ac:dyDescent="0.35">
      <c r="A66" t="s">
        <v>234</v>
      </c>
    </row>
    <row r="67" spans="1:3" x14ac:dyDescent="0.35">
      <c r="A67" t="s">
        <v>235</v>
      </c>
      <c r="B67" s="36">
        <v>2473.1</v>
      </c>
    </row>
    <row r="68" spans="1:3" x14ac:dyDescent="0.35">
      <c r="A68" t="s">
        <v>150</v>
      </c>
      <c r="B68" s="36">
        <v>3689.2</v>
      </c>
    </row>
    <row r="69" spans="1:3" x14ac:dyDescent="0.35">
      <c r="B69">
        <f>B67/B68*365</f>
        <v>244.68218041851893</v>
      </c>
      <c r="C69">
        <f>B69/2</f>
        <v>122.34109020925946</v>
      </c>
    </row>
    <row r="71" spans="1:3" x14ac:dyDescent="0.35">
      <c r="A71" t="s">
        <v>244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3A0A3-D41E-40DA-B02C-7C323585C24C}">
  <dimension ref="A1:A13"/>
  <sheetViews>
    <sheetView workbookViewId="0">
      <selection activeCell="D17" sqref="D17"/>
    </sheetView>
  </sheetViews>
  <sheetFormatPr defaultRowHeight="14.5" x14ac:dyDescent="0.35"/>
  <sheetData>
    <row r="1" spans="1:1" x14ac:dyDescent="0.35">
      <c r="A1" s="29" t="s">
        <v>162</v>
      </c>
    </row>
    <row r="2" spans="1:1" x14ac:dyDescent="0.35">
      <c r="A2" s="40"/>
    </row>
    <row r="3" spans="1:1" x14ac:dyDescent="0.35">
      <c r="A3" s="41" t="s">
        <v>163</v>
      </c>
    </row>
    <row r="4" spans="1:1" x14ac:dyDescent="0.35">
      <c r="A4" s="41" t="s">
        <v>164</v>
      </c>
    </row>
    <row r="5" spans="1:1" x14ac:dyDescent="0.35">
      <c r="A5" s="41" t="s">
        <v>165</v>
      </c>
    </row>
    <row r="6" spans="1:1" x14ac:dyDescent="0.35">
      <c r="A6" s="41" t="s">
        <v>166</v>
      </c>
    </row>
    <row r="7" spans="1:1" x14ac:dyDescent="0.35">
      <c r="A7" s="41" t="s">
        <v>167</v>
      </c>
    </row>
    <row r="8" spans="1:1" x14ac:dyDescent="0.35">
      <c r="A8" s="41" t="s">
        <v>168</v>
      </c>
    </row>
    <row r="9" spans="1:1" x14ac:dyDescent="0.35">
      <c r="A9" s="41" t="s">
        <v>169</v>
      </c>
    </row>
    <row r="10" spans="1:1" x14ac:dyDescent="0.35">
      <c r="A10" s="41" t="s">
        <v>170</v>
      </c>
    </row>
    <row r="11" spans="1:1" x14ac:dyDescent="0.35">
      <c r="A11" s="41" t="s">
        <v>171</v>
      </c>
    </row>
    <row r="12" spans="1:1" x14ac:dyDescent="0.35">
      <c r="A12" s="41" t="s">
        <v>172</v>
      </c>
    </row>
    <row r="13" spans="1:1" x14ac:dyDescent="0.35">
      <c r="A13" s="41"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Model</vt:lpstr>
      <vt:lpstr>Assumptions - Detailed</vt:lpstr>
      <vt:lpstr>Methodology - Each Step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Adito Rao</dc:creator>
  <cp:lastModifiedBy>Adito Rao</cp:lastModifiedBy>
  <dcterms:created xsi:type="dcterms:W3CDTF">2026-09-22T18:04:52Z</dcterms:created>
  <dcterms:modified xsi:type="dcterms:W3CDTF">2026-10-05T14:26:45Z</dcterms:modified>
</cp:coreProperties>
</file>